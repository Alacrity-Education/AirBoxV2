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ea\Downloads\"/>
    </mc:Choice>
  </mc:AlternateContent>
  <xr:revisionPtr revIDLastSave="0" documentId="13_ncr:1_{A482F650-CD57-47F5-B6C9-8B4F1C5333B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Instructiuni" sheetId="1" r:id="rId1"/>
    <sheet name="Program SERENITY" sheetId="3" r:id="rId2"/>
    <sheet name="Program VELOCITY" sheetId="4" r:id="rId3"/>
    <sheet name="Meciuri" sheetId="5" r:id="rId4"/>
    <sheet name="Sumar" sheetId="7" r:id="rId5"/>
  </sheets>
  <definedNames>
    <definedName name="_xlnm._FilterDatabase" localSheetId="3" hidden="1">Meciuri!$A$1:$V$1</definedName>
    <definedName name="_xlnm._FilterDatabase" localSheetId="1" hidden="1">'Program SERENITY'!$A$1:$I$1</definedName>
    <definedName name="_xlnm._FilterDatabase" localSheetId="2" hidden="1">'Program VELOCITY'!$A$1:$I$1</definedName>
    <definedName name="_xlnm._FilterDatabase" localSheetId="4" hidden="1">Sumar!$A$1:$N$1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1" i="7" l="1"/>
  <c r="M21" i="7"/>
  <c r="L21" i="7"/>
  <c r="N20" i="7"/>
  <c r="M20" i="7"/>
  <c r="L20" i="7"/>
  <c r="N19" i="7"/>
  <c r="M19" i="7"/>
  <c r="L19" i="7"/>
  <c r="N18" i="7"/>
  <c r="M18" i="7"/>
  <c r="L18" i="7"/>
  <c r="N17" i="7"/>
  <c r="M17" i="7"/>
  <c r="L17" i="7"/>
  <c r="N16" i="7"/>
  <c r="M16" i="7"/>
  <c r="L16" i="7"/>
  <c r="N15" i="7"/>
  <c r="M15" i="7"/>
  <c r="L15" i="7"/>
  <c r="N14" i="7"/>
  <c r="M14" i="7"/>
  <c r="L14" i="7"/>
  <c r="N13" i="7"/>
  <c r="M13" i="7"/>
  <c r="L13" i="7"/>
  <c r="N12" i="7"/>
  <c r="M12" i="7"/>
  <c r="L12" i="7"/>
  <c r="N11" i="7"/>
  <c r="M11" i="7"/>
  <c r="L11" i="7"/>
  <c r="D11" i="7"/>
  <c r="N10" i="7"/>
  <c r="M10" i="7"/>
  <c r="L10" i="7"/>
  <c r="D10" i="7"/>
  <c r="N9" i="7"/>
  <c r="M9" i="7"/>
  <c r="L9" i="7"/>
  <c r="D9" i="7"/>
  <c r="N8" i="7"/>
  <c r="M8" i="7"/>
  <c r="L8" i="7"/>
  <c r="K8" i="7"/>
  <c r="J8" i="7"/>
  <c r="I8" i="7"/>
  <c r="H8" i="7"/>
  <c r="G8" i="7"/>
  <c r="F8" i="7"/>
  <c r="E8" i="7"/>
  <c r="D8" i="7"/>
  <c r="N7" i="7"/>
  <c r="M7" i="7"/>
  <c r="L7" i="7"/>
  <c r="D7" i="7"/>
  <c r="N6" i="7"/>
  <c r="M6" i="7"/>
  <c r="L6" i="7"/>
  <c r="D6" i="7"/>
  <c r="N5" i="7"/>
  <c r="M5" i="7"/>
  <c r="L5" i="7"/>
  <c r="D5" i="7"/>
  <c r="N4" i="7"/>
  <c r="M4" i="7"/>
  <c r="L4" i="7"/>
  <c r="D4" i="7"/>
  <c r="N3" i="7"/>
  <c r="M3" i="7"/>
  <c r="L3" i="7"/>
  <c r="D3" i="7"/>
  <c r="N2" i="7"/>
  <c r="M2" i="7"/>
  <c r="L2" i="7"/>
  <c r="D2" i="7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D16" i="7" s="1"/>
  <c r="R174" i="5"/>
  <c r="Q174" i="5"/>
  <c r="P174" i="5"/>
  <c r="T173" i="5"/>
  <c r="S173" i="5"/>
  <c r="R173" i="5"/>
  <c r="Q173" i="5"/>
  <c r="P173" i="5"/>
  <c r="T172" i="5"/>
  <c r="S172" i="5"/>
  <c r="D12" i="7" s="1"/>
  <c r="R172" i="5"/>
  <c r="Q172" i="5"/>
  <c r="P172" i="5"/>
  <c r="T171" i="5"/>
  <c r="S171" i="5"/>
  <c r="D17" i="7" s="1"/>
  <c r="R171" i="5"/>
  <c r="Q171" i="5"/>
  <c r="P171" i="5"/>
  <c r="T170" i="5"/>
  <c r="S170" i="5"/>
  <c r="D19" i="7" s="1"/>
  <c r="R170" i="5"/>
  <c r="Q170" i="5"/>
  <c r="P170" i="5"/>
  <c r="T169" i="5"/>
  <c r="S169" i="5"/>
  <c r="D15" i="7" s="1"/>
  <c r="R169" i="5"/>
  <c r="Q169" i="5"/>
  <c r="P169" i="5"/>
  <c r="T168" i="5"/>
  <c r="S168" i="5"/>
  <c r="D21" i="7" s="1"/>
  <c r="R168" i="5"/>
  <c r="Q168" i="5"/>
  <c r="P168" i="5"/>
  <c r="T167" i="5"/>
  <c r="S167" i="5"/>
  <c r="D13" i="7" s="1"/>
  <c r="R167" i="5"/>
  <c r="Q167" i="5"/>
  <c r="P167" i="5"/>
  <c r="T166" i="5"/>
  <c r="S166" i="5"/>
  <c r="D20" i="7" s="1"/>
  <c r="R166" i="5"/>
  <c r="Q166" i="5"/>
  <c r="P166" i="5"/>
  <c r="T165" i="5"/>
  <c r="S165" i="5"/>
  <c r="D14" i="7" s="1"/>
  <c r="R165" i="5"/>
  <c r="Q165" i="5"/>
  <c r="P165" i="5"/>
  <c r="T164" i="5"/>
  <c r="S164" i="5"/>
  <c r="D18" i="7" s="1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10" i="5"/>
  <c r="S10" i="5"/>
  <c r="R10" i="5"/>
  <c r="Q10" i="5"/>
  <c r="P10" i="5"/>
  <c r="T9" i="5"/>
  <c r="S9" i="5"/>
  <c r="R9" i="5"/>
  <c r="Q9" i="5"/>
  <c r="P9" i="5"/>
  <c r="T8" i="5"/>
  <c r="S8" i="5"/>
  <c r="R8" i="5"/>
  <c r="Q8" i="5"/>
  <c r="P8" i="5"/>
  <c r="T7" i="5"/>
  <c r="S7" i="5"/>
  <c r="R7" i="5"/>
  <c r="Q7" i="5"/>
  <c r="P7" i="5"/>
  <c r="T6" i="5"/>
  <c r="S6" i="5"/>
  <c r="R6" i="5"/>
  <c r="Q6" i="5"/>
  <c r="P6" i="5"/>
  <c r="T5" i="5"/>
  <c r="S5" i="5"/>
  <c r="R5" i="5"/>
  <c r="Q5" i="5"/>
  <c r="P5" i="5"/>
  <c r="T4" i="5"/>
  <c r="S4" i="5"/>
  <c r="R4" i="5"/>
  <c r="Q4" i="5"/>
  <c r="P4" i="5"/>
  <c r="T3" i="5"/>
  <c r="S3" i="5"/>
  <c r="R3" i="5"/>
  <c r="Q3" i="5"/>
  <c r="P3" i="5"/>
  <c r="T2" i="5"/>
  <c r="S2" i="5"/>
  <c r="R2" i="5"/>
  <c r="Q2" i="5"/>
  <c r="P2" i="5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J11" i="7" l="1"/>
  <c r="K11" i="7"/>
  <c r="F11" i="7"/>
  <c r="I11" i="7"/>
  <c r="H11" i="7"/>
  <c r="E11" i="7"/>
  <c r="G11" i="7"/>
  <c r="F10" i="7"/>
  <c r="H10" i="7"/>
  <c r="E10" i="7"/>
  <c r="G10" i="7"/>
  <c r="I10" i="7"/>
  <c r="J10" i="7"/>
  <c r="K10" i="7"/>
  <c r="E9" i="7"/>
  <c r="G9" i="7"/>
  <c r="I9" i="7"/>
  <c r="H9" i="7"/>
  <c r="K9" i="7"/>
  <c r="F9" i="7"/>
  <c r="J9" i="7"/>
  <c r="K7" i="7"/>
  <c r="J7" i="7"/>
  <c r="I7" i="7"/>
  <c r="H7" i="7"/>
  <c r="G7" i="7"/>
  <c r="F7" i="7"/>
  <c r="E7" i="7"/>
  <c r="E6" i="7"/>
  <c r="J6" i="7"/>
  <c r="K6" i="7"/>
  <c r="I6" i="7"/>
  <c r="H6" i="7"/>
  <c r="G6" i="7"/>
  <c r="F6" i="7"/>
  <c r="H5" i="7"/>
  <c r="F5" i="7"/>
  <c r="E5" i="7"/>
  <c r="G5" i="7"/>
  <c r="I5" i="7"/>
  <c r="J5" i="7"/>
  <c r="K5" i="7"/>
  <c r="K4" i="7"/>
  <c r="I4" i="7"/>
  <c r="J4" i="7"/>
  <c r="E4" i="7"/>
  <c r="F4" i="7"/>
  <c r="G4" i="7"/>
  <c r="H4" i="7"/>
  <c r="J3" i="7"/>
  <c r="G3" i="7"/>
  <c r="F3" i="7"/>
  <c r="K3" i="7"/>
  <c r="H3" i="7"/>
  <c r="E3" i="7"/>
  <c r="I3" i="7"/>
  <c r="G2" i="7"/>
  <c r="F2" i="7"/>
  <c r="E2" i="7"/>
  <c r="I2" i="7"/>
  <c r="J2" i="7"/>
  <c r="K2" i="7"/>
  <c r="H2" i="7"/>
  <c r="E16" i="7"/>
  <c r="F16" i="7"/>
  <c r="G16" i="7"/>
  <c r="H16" i="7"/>
  <c r="I16" i="7"/>
  <c r="J16" i="7"/>
  <c r="K16" i="7"/>
  <c r="G12" i="7"/>
  <c r="E12" i="7"/>
  <c r="H12" i="7"/>
  <c r="I12" i="7"/>
  <c r="J12" i="7"/>
  <c r="K12" i="7"/>
  <c r="F12" i="7"/>
  <c r="E17" i="7"/>
  <c r="F17" i="7"/>
  <c r="G17" i="7"/>
  <c r="H17" i="7"/>
  <c r="I17" i="7"/>
  <c r="J17" i="7"/>
  <c r="K17" i="7"/>
  <c r="E19" i="7"/>
  <c r="F19" i="7"/>
  <c r="G19" i="7"/>
  <c r="H19" i="7"/>
  <c r="I19" i="7"/>
  <c r="J19" i="7"/>
  <c r="K19" i="7"/>
  <c r="E15" i="7"/>
  <c r="F15" i="7"/>
  <c r="G15" i="7"/>
  <c r="H15" i="7"/>
  <c r="I15" i="7"/>
  <c r="J15" i="7"/>
  <c r="K15" i="7"/>
  <c r="E21" i="7"/>
  <c r="F21" i="7"/>
  <c r="G21" i="7"/>
  <c r="H21" i="7"/>
  <c r="I21" i="7"/>
  <c r="J21" i="7"/>
  <c r="K21" i="7"/>
  <c r="H13" i="7"/>
  <c r="J13" i="7"/>
  <c r="E13" i="7"/>
  <c r="F13" i="7"/>
  <c r="G13" i="7"/>
  <c r="I13" i="7"/>
  <c r="K13" i="7"/>
  <c r="E20" i="7"/>
  <c r="F20" i="7"/>
  <c r="G20" i="7"/>
  <c r="H20" i="7"/>
  <c r="I20" i="7"/>
  <c r="J20" i="7"/>
  <c r="K20" i="7"/>
  <c r="F14" i="7"/>
  <c r="H14" i="7"/>
  <c r="K14" i="7"/>
  <c r="E14" i="7"/>
  <c r="G14" i="7"/>
  <c r="I14" i="7"/>
  <c r="J14" i="7"/>
  <c r="G18" i="7"/>
  <c r="K18" i="7"/>
  <c r="F18" i="7"/>
  <c r="I18" i="7"/>
  <c r="E18" i="7"/>
  <c r="H18" i="7"/>
  <c r="J18" i="7"/>
</calcChain>
</file>

<file path=xl/sharedStrings.xml><?xml version="1.0" encoding="utf-8"?>
<sst xmlns="http://schemas.openxmlformats.org/spreadsheetml/2006/main" count="1496" uniqueCount="207">
  <si>
    <t>Bucharest Twin Cup 2026 - fisa de scouting</t>
  </si>
  <si>
    <t>Foile fisierului</t>
  </si>
  <si>
    <t>Cele 45 de meciuri ale grupei SERENITY, in ordinea oficiala. Completeaza scorurile; castigatorul se calculeaza singur.</t>
  </si>
  <si>
    <t>Idem, cele 45 de meciuri ale grupei VELOCITY.</t>
  </si>
  <si>
    <t>Scouting detaliat. Toate cele 90 de meciuri sunt pre-completate din ambele perspective (180 de randuri): completeaza doar contorii pentru meciurile pe care le urmaresti.</t>
  </si>
  <si>
    <t>Statistici automate per alianta, grupate. Nu scrie nimic aici.</t>
  </si>
  <si>
    <t>Legenda culorilor</t>
  </si>
  <si>
    <t>Text albastru</t>
  </si>
  <si>
    <t>Celula de completat manual.</t>
  </si>
  <si>
    <t>Text negru aldin</t>
  </si>
  <si>
    <t>Celula calculata prin formula - nu o suprascrie.</t>
  </si>
  <si>
    <t>Punctaje DECODE folosite in formule</t>
  </si>
  <si>
    <t>LEAVE (ieșire de pe launch line, AUTO)</t>
  </si>
  <si>
    <t>3 puncte / robot</t>
  </si>
  <si>
    <t>Artifact CLASSIFIED (AUTO si TELEOP)</t>
  </si>
  <si>
    <t>3 puncte</t>
  </si>
  <si>
    <t>Artifact OVERFLOW (AUTO si TELEOP)</t>
  </si>
  <si>
    <t>1 punct</t>
  </si>
  <si>
    <t>Artifact in DEPOT</t>
  </si>
  <si>
    <t>PATTERN - artifact care corespunde motifului</t>
  </si>
  <si>
    <t>2 puncte (evaluat separat la final de AUTO si de TELEOP)</t>
  </si>
  <si>
    <t>BASE - robot partial / complet intors</t>
  </si>
  <si>
    <t>5 / 10 puncte</t>
  </si>
  <si>
    <t>BASE - bonus ambii roboti complet intorsi</t>
  </si>
  <si>
    <t>10 puncte</t>
  </si>
  <si>
    <t>MINOR FOUL / MAJOR FOUL</t>
  </si>
  <si>
    <t>5 / 15 puncte pentru adversar</t>
  </si>
  <si>
    <t>Grupa</t>
  </si>
  <si>
    <t>Note</t>
  </si>
  <si>
    <t>SERENITY</t>
  </si>
  <si>
    <t>FUNKY FISHES</t>
  </si>
  <si>
    <t>ROBOCITY</t>
  </si>
  <si>
    <t>Phoenix + Avocado</t>
  </si>
  <si>
    <t>BRICKSAPIENS</t>
  </si>
  <si>
    <t>ENERGYFROX</t>
  </si>
  <si>
    <t>QUAN2D2</t>
  </si>
  <si>
    <t>CSH²</t>
  </si>
  <si>
    <t>RESISTECH</t>
  </si>
  <si>
    <t>META KNIGHT</t>
  </si>
  <si>
    <t>RoboAS + Xeo</t>
  </si>
  <si>
    <t>VELOCITY</t>
  </si>
  <si>
    <t>HEART ATTACKS</t>
  </si>
  <si>
    <t>ROBOSPARKS</t>
  </si>
  <si>
    <t>VVWORKS</t>
  </si>
  <si>
    <t>GAME CHANGERS</t>
  </si>
  <si>
    <t>INFOBOTS</t>
  </si>
  <si>
    <t>LIT-HUANIA</t>
  </si>
  <si>
    <t>STARFORCE</t>
  </si>
  <si>
    <t>LUNARTITANS</t>
  </si>
  <si>
    <t>ALPHASPARKS</t>
  </si>
  <si>
    <t>AICINTEZ</t>
  </si>
  <si>
    <t>Meci</t>
  </si>
  <si>
    <t>Alianta rosie</t>
  </si>
  <si>
    <t>Echipe rosu</t>
  </si>
  <si>
    <t>Alianta albastra</t>
  </si>
  <si>
    <t>Echipe albastru</t>
  </si>
  <si>
    <t>Scor rosu</t>
  </si>
  <si>
    <t>Scor albastru</t>
  </si>
  <si>
    <t>Castigator</t>
  </si>
  <si>
    <t>Q-1</t>
  </si>
  <si>
    <t>19043 CyLiis + 19044 Peppers</t>
  </si>
  <si>
    <t>21087 Velocity + 18270 RoboPlayers</t>
  </si>
  <si>
    <t>Q-2</t>
  </si>
  <si>
    <t>19280 Phoenix + 24554 AVOCADO ROBOTICS</t>
  </si>
  <si>
    <t>15996 BrickBot + 19053 Homosapiens</t>
  </si>
  <si>
    <t>Q-3</t>
  </si>
  <si>
    <t>20092 RTF-RoboticTechFrox + 23417 The Energizers</t>
  </si>
  <si>
    <t>14270 Quantum Robotics + 17962 Ro2D2</t>
  </si>
  <si>
    <t>Q-4</t>
  </si>
  <si>
    <t>17861 CSH + 99961 Off-Season Demo Team</t>
  </si>
  <si>
    <t>19091 The Resistance + 19056 PrimeTech</t>
  </si>
  <si>
    <t>Q-5</t>
  </si>
  <si>
    <t>11139 Knight Owls + 18221 Meta^Infinity</t>
  </si>
  <si>
    <t>19082 RoboAS + 14278 Xeo</t>
  </si>
  <si>
    <t>Q-11</t>
  </si>
  <si>
    <t>Q-12</t>
  </si>
  <si>
    <t>Q-13</t>
  </si>
  <si>
    <t>Q-14</t>
  </si>
  <si>
    <t>Q-15</t>
  </si>
  <si>
    <t>Q-21</t>
  </si>
  <si>
    <t>Q-22</t>
  </si>
  <si>
    <t>Q-23</t>
  </si>
  <si>
    <t>Q-24</t>
  </si>
  <si>
    <t>Q-25</t>
  </si>
  <si>
    <t>Q-31</t>
  </si>
  <si>
    <t>Q-32</t>
  </si>
  <si>
    <t>Q-33</t>
  </si>
  <si>
    <t>Q-34</t>
  </si>
  <si>
    <t>Q-35</t>
  </si>
  <si>
    <t>Q-41</t>
  </si>
  <si>
    <t>Q-42</t>
  </si>
  <si>
    <t>Q-43</t>
  </si>
  <si>
    <t>Q-44</t>
  </si>
  <si>
    <t>Q-45</t>
  </si>
  <si>
    <t>Q-51</t>
  </si>
  <si>
    <t>Q-52</t>
  </si>
  <si>
    <t>Q-53</t>
  </si>
  <si>
    <t>Q-54</t>
  </si>
  <si>
    <t>Q-55</t>
  </si>
  <si>
    <t>Q-61</t>
  </si>
  <si>
    <t>Q-62</t>
  </si>
  <si>
    <t>Q-63</t>
  </si>
  <si>
    <t>Q-64</t>
  </si>
  <si>
    <t>Q-65</t>
  </si>
  <si>
    <t>Q-71</t>
  </si>
  <si>
    <t>Q-72</t>
  </si>
  <si>
    <t>Q-73</t>
  </si>
  <si>
    <t>Q-74</t>
  </si>
  <si>
    <t>Q-75</t>
  </si>
  <si>
    <t>Q-81</t>
  </si>
  <si>
    <t>Q-82</t>
  </si>
  <si>
    <t>Q-83</t>
  </si>
  <si>
    <t>Q-84</t>
  </si>
  <si>
    <t>Q-85</t>
  </si>
  <si>
    <t>Q-6</t>
  </si>
  <si>
    <t>20265 Heart of RoBots + 32868 LittleHearts</t>
  </si>
  <si>
    <t>23205 RoboDojo + 25871 SolarSparks Robotics</t>
  </si>
  <si>
    <t>Q-7</t>
  </si>
  <si>
    <t>19075 Clockworks + 19116 VV Robots</t>
  </si>
  <si>
    <t>15972 TehnoZ + 16166 Watt'S Up</t>
  </si>
  <si>
    <t>Q-8</t>
  </si>
  <si>
    <t>19141 BraveBots + 15993 infO(1)Robotics</t>
  </si>
  <si>
    <t>24475 PlumBum + 24500 LITBOT</t>
  </si>
  <si>
    <t>Q-9</t>
  </si>
  <si>
    <t>24909 StarLight + 19234 ByteForce</t>
  </si>
  <si>
    <t>19256 CyberMoon + 20732 ATLAS_CNB_192</t>
  </si>
  <si>
    <t>Q-10</t>
  </si>
  <si>
    <t>24345 SPARKTECH + 24033 Alphatronic</t>
  </si>
  <si>
    <t>19066 AiCitizens + 99966 Off-Season Demo Team</t>
  </si>
  <si>
    <t>Q-16</t>
  </si>
  <si>
    <t>Q-17</t>
  </si>
  <si>
    <t>Q-18</t>
  </si>
  <si>
    <t>Q-19</t>
  </si>
  <si>
    <t>Q-20</t>
  </si>
  <si>
    <t>Q-26</t>
  </si>
  <si>
    <t>Q-27</t>
  </si>
  <si>
    <t>Q-28</t>
  </si>
  <si>
    <t>Q-29</t>
  </si>
  <si>
    <t>Q-30</t>
  </si>
  <si>
    <t>Q-36</t>
  </si>
  <si>
    <t>Q-37</t>
  </si>
  <si>
    <t>Q-38</t>
  </si>
  <si>
    <t>Q-39</t>
  </si>
  <si>
    <t>Q-40</t>
  </si>
  <si>
    <t>Q-46</t>
  </si>
  <si>
    <t>Q-47</t>
  </si>
  <si>
    <t>Q-48</t>
  </si>
  <si>
    <t>Q-49</t>
  </si>
  <si>
    <t>Q-50</t>
  </si>
  <si>
    <t>Q-56</t>
  </si>
  <si>
    <t>Q-57</t>
  </si>
  <si>
    <t>Q-58</t>
  </si>
  <si>
    <t>Q-59</t>
  </si>
  <si>
    <t>Q-60</t>
  </si>
  <si>
    <t>Q-66</t>
  </si>
  <si>
    <t>Q-67</t>
  </si>
  <si>
    <t>Q-68</t>
  </si>
  <si>
    <t>Q-69</t>
  </si>
  <si>
    <t>Q-70</t>
  </si>
  <si>
    <t>Q-76</t>
  </si>
  <si>
    <t>Q-77</t>
  </si>
  <si>
    <t>Q-78</t>
  </si>
  <si>
    <t>Q-79</t>
  </si>
  <si>
    <t>Q-80</t>
  </si>
  <si>
    <t>Q-86</t>
  </si>
  <si>
    <t>Q-87</t>
  </si>
  <si>
    <t>Q-88</t>
  </si>
  <si>
    <t>Q-89</t>
  </si>
  <si>
    <t>Q-90</t>
  </si>
  <si>
    <t>Alianta</t>
  </si>
  <si>
    <t>Adversar</t>
  </si>
  <si>
    <t>Culoare</t>
  </si>
  <si>
    <t>Roboti LEAVE</t>
  </si>
  <si>
    <t>AUTO classified</t>
  </si>
  <si>
    <t>AUTO overflow</t>
  </si>
  <si>
    <t>AUTO pattern</t>
  </si>
  <si>
    <t>TELEOP classified</t>
  </si>
  <si>
    <t>TELEOP overflow</t>
  </si>
  <si>
    <t>Depot</t>
  </si>
  <si>
    <t>TELEOP pattern</t>
  </si>
  <si>
    <t>Roboti partial baza</t>
  </si>
  <si>
    <t>Roboti complet baza</t>
  </si>
  <si>
    <t>Pct AUTO</t>
  </si>
  <si>
    <t>Pct TELEOP</t>
  </si>
  <si>
    <t>Pct BASE</t>
  </si>
  <si>
    <t>TOTAL</t>
  </si>
  <si>
    <t>Artifacts prin square</t>
  </si>
  <si>
    <t>Rezultat</t>
  </si>
  <si>
    <t>Observatii</t>
  </si>
  <si>
    <t>Rosu</t>
  </si>
  <si>
    <t>Albastru</t>
  </si>
  <si>
    <t>Echipe</t>
  </si>
  <si>
    <t>Meciuri notate</t>
  </si>
  <si>
    <t>Total puncte</t>
  </si>
  <si>
    <t>Medie puncte</t>
  </si>
  <si>
    <t>Medie AUTO</t>
  </si>
  <si>
    <t>Medie TELEOP</t>
  </si>
  <si>
    <t>Medie BASE</t>
  </si>
  <si>
    <t>Medie artifacts</t>
  </si>
  <si>
    <t>Max punctaj</t>
  </si>
  <si>
    <t>V</t>
  </si>
  <si>
    <t>E</t>
  </si>
  <si>
    <t>I</t>
  </si>
  <si>
    <t>Program SERENITY</t>
  </si>
  <si>
    <t>Program VELOCITY</t>
  </si>
  <si>
    <t>Meciuri</t>
  </si>
  <si>
    <t>Sumar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</si>
</sst>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6E4F7"/>
      </patternFill>
    </fill>
    <fill>
      <patternFill patternType="solid">
        <fgColor rgb="FF1F3864"/>
        <bgColor rgb="FF333333"/>
      </patternFill>
    </fill>
    <fill>
      <patternFill patternType="solid">
        <fgColor rgb="FFE4D7F5"/>
        <bgColor rgb="FFD9E1F2"/>
      </patternFill>
    </fill>
    <fill>
      <patternFill patternType="solid">
        <fgColor rgb="FFD6E4F7"/>
        <bgColor rgb="FFD9E1F2"/>
      </patternFill>
    </fill>
    <fill>
      <patternFill patternType="solid">
        <fgColor rgb="FFF8DCDC"/>
        <bgColor rgb="FFE4D7F5"/>
      </patternFill>
    </fill>
    <fill>
      <patternFill patternType="solid">
        <fgColor rgb="FFDCE6F8"/>
        <bgColor rgb="FFD6E4F7"/>
      </patternFill>
    </fill>
    <fill>
      <patternFill patternType="solid">
        <fgColor rgb="FFFFF2CC"/>
        <bgColor rgb="FFF8DCD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164" fontId="6" fillId="0" borderId="1" xfId="0" applyNumberFormat="1" applyFont="1" applyBorder="1"/>
    <xf numFmtId="0" fontId="8" fillId="5" borderId="1" xfId="0" applyFont="1" applyFill="1" applyBorder="1"/>
    <xf numFmtId="0" fontId="2" fillId="0" borderId="0" xfId="0" applyFont="1"/>
    <xf numFmtId="0" fontId="8" fillId="0" borderId="1" xfId="0" applyFont="1" applyBorder="1" applyAlignment="1">
      <alignment horizontal="center"/>
    </xf>
    <xf numFmtId="0" fontId="8" fillId="6" borderId="1" xfId="0" applyFont="1" applyFill="1" applyBorder="1"/>
    <xf numFmtId="0" fontId="9" fillId="6" borderId="1" xfId="0" applyFont="1" applyFill="1" applyBorder="1"/>
    <xf numFmtId="0" fontId="8" fillId="7" borderId="1" xfId="0" applyFont="1" applyFill="1" applyBorder="1"/>
    <xf numFmtId="0" fontId="9" fillId="7" borderId="1" xfId="0" applyFont="1" applyFill="1" applyBorder="1"/>
    <xf numFmtId="0" fontId="6" fillId="0" borderId="1" xfId="0" applyFont="1" applyBorder="1"/>
    <xf numFmtId="0" fontId="9" fillId="4" borderId="1" xfId="0" applyFont="1" applyFill="1" applyBorder="1"/>
    <xf numFmtId="0" fontId="8" fillId="0" borderId="1" xfId="0" applyFont="1" applyBorder="1"/>
    <xf numFmtId="0" fontId="6" fillId="8" borderId="1" xfId="0" applyFont="1" applyFill="1" applyBorder="1"/>
    <xf numFmtId="0" fontId="9" fillId="5" borderId="1" xfId="0" applyFont="1" applyFill="1" applyBorder="1"/>
    <xf numFmtId="0" fontId="9" fillId="0" borderId="1" xfId="0" applyFont="1" applyBorder="1"/>
    <xf numFmtId="0" fontId="1" fillId="0" borderId="2" xfId="0" applyFont="1" applyBorder="1"/>
    <xf numFmtId="0" fontId="0" fillId="0" borderId="2" xfId="0" applyBorder="1"/>
    <xf numFmtId="0" fontId="3" fillId="2" borderId="2" xfId="0" applyFont="1" applyFill="1" applyBorder="1"/>
    <xf numFmtId="0" fontId="0" fillId="2" borderId="2" xfId="0" applyFill="1" applyBorder="1"/>
    <xf numFmtId="0" fontId="4" fillId="0" borderId="2" xfId="0" applyFont="1" applyBorder="1" applyAlignment="1">
      <alignment vertical="top" wrapText="1"/>
    </xf>
    <xf numFmtId="0" fontId="5" fillId="0" borderId="2" xfId="0" applyFont="1" applyBorder="1"/>
    <xf numFmtId="0" fontId="4" fillId="0" borderId="2" xfId="0" applyFont="1" applyBorder="1"/>
    <xf numFmtId="0" fontId="6" fillId="0" borderId="2" xfId="0" applyFont="1" applyBorder="1"/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8"/>
      <rgbColor rgb="FF660066"/>
      <rgbColor rgb="FFFF8080"/>
      <rgbColor rgb="FF0066CC"/>
      <rgbColor rgb="FFE4D7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E1F2"/>
      <rgbColor rgb="FFFFFF99"/>
      <rgbColor rgb="FF99CCFF"/>
      <rgbColor rgb="FFFF99CC"/>
      <rgbColor rgb="FFCC99FF"/>
      <rgbColor rgb="FFF8DC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0"/>
  <sheetViews>
    <sheetView showGridLines="0" topLeftCell="A6" zoomScaleNormal="100" workbookViewId="0">
      <selection activeCell="C21" sqref="C21"/>
    </sheetView>
  </sheetViews>
  <sheetFormatPr defaultColWidth="8.7109375" defaultRowHeight="15" x14ac:dyDescent="0.25"/>
  <cols>
    <col min="1" max="1" width="3" style="20" customWidth="1"/>
    <col min="2" max="2" width="32" style="20" customWidth="1"/>
    <col min="3" max="3" width="66" style="20" customWidth="1"/>
    <col min="4" max="4" width="12" style="20" customWidth="1"/>
    <col min="5" max="16384" width="8.7109375" style="20"/>
  </cols>
  <sheetData>
    <row r="2" spans="2:4" ht="18" x14ac:dyDescent="0.25">
      <c r="B2" s="19" t="s">
        <v>0</v>
      </c>
    </row>
    <row r="3" spans="2:4" ht="31.5" customHeight="1" x14ac:dyDescent="0.25">
      <c r="B3" s="27"/>
      <c r="C3" s="27"/>
      <c r="D3" s="27"/>
    </row>
    <row r="5" spans="2:4" x14ac:dyDescent="0.25">
      <c r="B5" s="21" t="s">
        <v>1</v>
      </c>
      <c r="C5" s="22"/>
    </row>
    <row r="6" spans="2:4" ht="30" customHeight="1" x14ac:dyDescent="0.25">
      <c r="B6" s="23" t="s">
        <v>203</v>
      </c>
      <c r="C6" s="23" t="s">
        <v>2</v>
      </c>
    </row>
    <row r="7" spans="2:4" x14ac:dyDescent="0.25">
      <c r="B7" s="23" t="s">
        <v>204</v>
      </c>
      <c r="C7" s="23" t="s">
        <v>3</v>
      </c>
    </row>
    <row r="8" spans="2:4" ht="30" customHeight="1" x14ac:dyDescent="0.25">
      <c r="B8" s="23" t="s">
        <v>205</v>
      </c>
      <c r="C8" s="23" t="s">
        <v>4</v>
      </c>
    </row>
    <row r="9" spans="2:4" x14ac:dyDescent="0.25">
      <c r="B9" s="23" t="s">
        <v>206</v>
      </c>
      <c r="C9" s="23" t="s">
        <v>5</v>
      </c>
    </row>
    <row r="11" spans="2:4" x14ac:dyDescent="0.25">
      <c r="B11" s="21" t="s">
        <v>6</v>
      </c>
      <c r="C11" s="22"/>
    </row>
    <row r="12" spans="2:4" x14ac:dyDescent="0.25">
      <c r="B12" s="24" t="s">
        <v>7</v>
      </c>
      <c r="C12" s="25" t="s">
        <v>8</v>
      </c>
    </row>
    <row r="13" spans="2:4" x14ac:dyDescent="0.25">
      <c r="B13" s="26" t="s">
        <v>9</v>
      </c>
      <c r="C13" s="25" t="s">
        <v>10</v>
      </c>
    </row>
    <row r="15" spans="2:4" x14ac:dyDescent="0.25">
      <c r="B15" s="21" t="s">
        <v>11</v>
      </c>
      <c r="C15" s="22"/>
    </row>
    <row r="16" spans="2:4" ht="25.5" x14ac:dyDescent="0.25">
      <c r="B16" s="23" t="s">
        <v>12</v>
      </c>
      <c r="C16" s="23" t="s">
        <v>13</v>
      </c>
    </row>
    <row r="17" spans="2:4" ht="25.5" x14ac:dyDescent="0.25">
      <c r="B17" s="23" t="s">
        <v>14</v>
      </c>
      <c r="C17" s="23" t="s">
        <v>15</v>
      </c>
    </row>
    <row r="18" spans="2:4" ht="25.5" x14ac:dyDescent="0.25">
      <c r="B18" s="23" t="s">
        <v>16</v>
      </c>
      <c r="C18" s="23" t="s">
        <v>17</v>
      </c>
    </row>
    <row r="19" spans="2:4" x14ac:dyDescent="0.25">
      <c r="B19" s="23" t="s">
        <v>18</v>
      </c>
      <c r="C19" s="23" t="s">
        <v>17</v>
      </c>
    </row>
    <row r="20" spans="2:4" ht="25.5" x14ac:dyDescent="0.25">
      <c r="B20" s="23" t="s">
        <v>19</v>
      </c>
      <c r="C20" s="23" t="s">
        <v>20</v>
      </c>
    </row>
    <row r="21" spans="2:4" x14ac:dyDescent="0.25">
      <c r="B21" s="23" t="s">
        <v>21</v>
      </c>
      <c r="C21" s="23" t="s">
        <v>22</v>
      </c>
    </row>
    <row r="22" spans="2:4" ht="25.5" x14ac:dyDescent="0.25">
      <c r="B22" s="23" t="s">
        <v>23</v>
      </c>
      <c r="C22" s="23" t="s">
        <v>24</v>
      </c>
    </row>
    <row r="23" spans="2:4" x14ac:dyDescent="0.25">
      <c r="B23" s="23" t="s">
        <v>25</v>
      </c>
      <c r="C23" s="23" t="s">
        <v>26</v>
      </c>
    </row>
    <row r="24" spans="2:4" ht="31.5" customHeight="1" x14ac:dyDescent="0.25">
      <c r="B24" s="27"/>
      <c r="C24" s="27"/>
      <c r="D24" s="27"/>
    </row>
    <row r="26" spans="2:4" x14ac:dyDescent="0.25">
      <c r="B26" s="21"/>
      <c r="C26" s="22"/>
    </row>
    <row r="27" spans="2:4" x14ac:dyDescent="0.25">
      <c r="B27" s="23"/>
      <c r="C27" s="23"/>
    </row>
    <row r="28" spans="2:4" x14ac:dyDescent="0.25">
      <c r="B28" s="23"/>
      <c r="C28" s="23"/>
    </row>
    <row r="29" spans="2:4" ht="30" customHeight="1" x14ac:dyDescent="0.25">
      <c r="B29" s="23"/>
      <c r="C29" s="23"/>
    </row>
    <row r="30" spans="2:4" ht="107.25" customHeight="1" x14ac:dyDescent="0.25">
      <c r="B30" s="23"/>
      <c r="C30" s="23"/>
    </row>
  </sheetData>
  <mergeCells count="2">
    <mergeCell ref="B3:D3"/>
    <mergeCell ref="B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zoomScaleNormal="100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C50" sqref="C50"/>
    </sheetView>
  </sheetViews>
  <sheetFormatPr defaultColWidth="8.7109375" defaultRowHeight="15" x14ac:dyDescent="0.25"/>
  <cols>
    <col min="1" max="1" width="7" customWidth="1"/>
    <col min="2" max="2" width="19" customWidth="1"/>
    <col min="3" max="3" width="59.42578125" customWidth="1"/>
    <col min="4" max="4" width="19" customWidth="1"/>
    <col min="5" max="5" width="66.28515625" customWidth="1"/>
    <col min="6" max="6" width="10" customWidth="1"/>
    <col min="7" max="7" width="11" customWidth="1"/>
    <col min="8" max="8" width="19" customWidth="1"/>
    <col min="9" max="9" width="26" customWidth="1"/>
  </cols>
  <sheetData>
    <row r="1" spans="1:9" ht="30" customHeigh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28</v>
      </c>
    </row>
    <row r="2" spans="1:9" x14ac:dyDescent="0.25">
      <c r="A2" s="8" t="s">
        <v>59</v>
      </c>
      <c r="B2" s="9" t="s">
        <v>30</v>
      </c>
      <c r="C2" s="10" t="s">
        <v>60</v>
      </c>
      <c r="D2" s="11" t="s">
        <v>31</v>
      </c>
      <c r="E2" s="12" t="s">
        <v>61</v>
      </c>
      <c r="F2" s="4"/>
      <c r="G2" s="4"/>
      <c r="H2" s="13" t="str">
        <f t="shared" ref="H2:H46" si="0">IF(COUNT(F2:G2)&lt;2,"",IF(F2&gt;G2,$B2,IF(G2&gt;F2,$D2,"Egal")))</f>
        <v/>
      </c>
      <c r="I2" s="4"/>
    </row>
    <row r="3" spans="1:9" x14ac:dyDescent="0.25">
      <c r="A3" s="8" t="s">
        <v>62</v>
      </c>
      <c r="B3" s="9" t="s">
        <v>32</v>
      </c>
      <c r="C3" s="10" t="s">
        <v>63</v>
      </c>
      <c r="D3" s="11" t="s">
        <v>33</v>
      </c>
      <c r="E3" s="12" t="s">
        <v>64</v>
      </c>
      <c r="F3" s="4"/>
      <c r="G3" s="4"/>
      <c r="H3" s="13" t="str">
        <f t="shared" si="0"/>
        <v/>
      </c>
      <c r="I3" s="4"/>
    </row>
    <row r="4" spans="1:9" x14ac:dyDescent="0.25">
      <c r="A4" s="8" t="s">
        <v>65</v>
      </c>
      <c r="B4" s="9" t="s">
        <v>34</v>
      </c>
      <c r="C4" s="10" t="s">
        <v>66</v>
      </c>
      <c r="D4" s="11" t="s">
        <v>35</v>
      </c>
      <c r="E4" s="12" t="s">
        <v>67</v>
      </c>
      <c r="F4" s="4"/>
      <c r="G4" s="4"/>
      <c r="H4" s="13" t="str">
        <f t="shared" si="0"/>
        <v/>
      </c>
      <c r="I4" s="4"/>
    </row>
    <row r="5" spans="1:9" x14ac:dyDescent="0.25">
      <c r="A5" s="8" t="s">
        <v>68</v>
      </c>
      <c r="B5" s="9" t="s">
        <v>36</v>
      </c>
      <c r="C5" s="10" t="s">
        <v>69</v>
      </c>
      <c r="D5" s="11" t="s">
        <v>37</v>
      </c>
      <c r="E5" s="12" t="s">
        <v>70</v>
      </c>
      <c r="F5" s="4"/>
      <c r="G5" s="4"/>
      <c r="H5" s="13" t="str">
        <f t="shared" si="0"/>
        <v/>
      </c>
      <c r="I5" s="4"/>
    </row>
    <row r="6" spans="1:9" x14ac:dyDescent="0.25">
      <c r="A6" s="8" t="s">
        <v>71</v>
      </c>
      <c r="B6" s="9" t="s">
        <v>38</v>
      </c>
      <c r="C6" s="10" t="s">
        <v>72</v>
      </c>
      <c r="D6" s="11" t="s">
        <v>39</v>
      </c>
      <c r="E6" s="12" t="s">
        <v>73</v>
      </c>
      <c r="F6" s="4"/>
      <c r="G6" s="4"/>
      <c r="H6" s="13" t="str">
        <f t="shared" si="0"/>
        <v/>
      </c>
      <c r="I6" s="4"/>
    </row>
    <row r="7" spans="1:9" x14ac:dyDescent="0.25">
      <c r="A7" s="8" t="s">
        <v>74</v>
      </c>
      <c r="B7" s="9" t="s">
        <v>33</v>
      </c>
      <c r="C7" s="10" t="s">
        <v>64</v>
      </c>
      <c r="D7" s="11" t="s">
        <v>30</v>
      </c>
      <c r="E7" s="12" t="s">
        <v>60</v>
      </c>
      <c r="F7" s="4"/>
      <c r="G7" s="4"/>
      <c r="H7" s="13" t="str">
        <f t="shared" si="0"/>
        <v/>
      </c>
      <c r="I7" s="4"/>
    </row>
    <row r="8" spans="1:9" x14ac:dyDescent="0.25">
      <c r="A8" s="8" t="s">
        <v>75</v>
      </c>
      <c r="B8" s="9" t="s">
        <v>31</v>
      </c>
      <c r="C8" s="10" t="s">
        <v>61</v>
      </c>
      <c r="D8" s="11" t="s">
        <v>35</v>
      </c>
      <c r="E8" s="12" t="s">
        <v>67</v>
      </c>
      <c r="F8" s="4"/>
      <c r="G8" s="4"/>
      <c r="H8" s="13" t="str">
        <f t="shared" si="0"/>
        <v/>
      </c>
      <c r="I8" s="4"/>
    </row>
    <row r="9" spans="1:9" x14ac:dyDescent="0.25">
      <c r="A9" s="8" t="s">
        <v>76</v>
      </c>
      <c r="B9" s="9" t="s">
        <v>32</v>
      </c>
      <c r="C9" s="10" t="s">
        <v>63</v>
      </c>
      <c r="D9" s="11" t="s">
        <v>37</v>
      </c>
      <c r="E9" s="12" t="s">
        <v>70</v>
      </c>
      <c r="F9" s="4"/>
      <c r="G9" s="4"/>
      <c r="H9" s="13" t="str">
        <f t="shared" si="0"/>
        <v/>
      </c>
      <c r="I9" s="4"/>
    </row>
    <row r="10" spans="1:9" x14ac:dyDescent="0.25">
      <c r="A10" s="8" t="s">
        <v>77</v>
      </c>
      <c r="B10" s="9" t="s">
        <v>34</v>
      </c>
      <c r="C10" s="10" t="s">
        <v>66</v>
      </c>
      <c r="D10" s="11" t="s">
        <v>39</v>
      </c>
      <c r="E10" s="12" t="s">
        <v>73</v>
      </c>
      <c r="F10" s="4"/>
      <c r="G10" s="4"/>
      <c r="H10" s="13" t="str">
        <f t="shared" si="0"/>
        <v/>
      </c>
      <c r="I10" s="4"/>
    </row>
    <row r="11" spans="1:9" x14ac:dyDescent="0.25">
      <c r="A11" s="8" t="s">
        <v>78</v>
      </c>
      <c r="B11" s="9" t="s">
        <v>36</v>
      </c>
      <c r="C11" s="10" t="s">
        <v>69</v>
      </c>
      <c r="D11" s="11" t="s">
        <v>38</v>
      </c>
      <c r="E11" s="12" t="s">
        <v>72</v>
      </c>
      <c r="F11" s="4"/>
      <c r="G11" s="4"/>
      <c r="H11" s="13" t="str">
        <f t="shared" si="0"/>
        <v/>
      </c>
      <c r="I11" s="4"/>
    </row>
    <row r="12" spans="1:9" x14ac:dyDescent="0.25">
      <c r="A12" s="8" t="s">
        <v>79</v>
      </c>
      <c r="B12" s="9" t="s">
        <v>30</v>
      </c>
      <c r="C12" s="10" t="s">
        <v>60</v>
      </c>
      <c r="D12" s="11" t="s">
        <v>35</v>
      </c>
      <c r="E12" s="12" t="s">
        <v>67</v>
      </c>
      <c r="F12" s="4"/>
      <c r="G12" s="4"/>
      <c r="H12" s="13" t="str">
        <f t="shared" si="0"/>
        <v/>
      </c>
      <c r="I12" s="4"/>
    </row>
    <row r="13" spans="1:9" x14ac:dyDescent="0.25">
      <c r="A13" s="8" t="s">
        <v>80</v>
      </c>
      <c r="B13" s="9" t="s">
        <v>33</v>
      </c>
      <c r="C13" s="10" t="s">
        <v>64</v>
      </c>
      <c r="D13" s="11" t="s">
        <v>37</v>
      </c>
      <c r="E13" s="12" t="s">
        <v>70</v>
      </c>
      <c r="F13" s="4"/>
      <c r="G13" s="4"/>
      <c r="H13" s="13" t="str">
        <f t="shared" si="0"/>
        <v/>
      </c>
      <c r="I13" s="4"/>
    </row>
    <row r="14" spans="1:9" x14ac:dyDescent="0.25">
      <c r="A14" s="8" t="s">
        <v>81</v>
      </c>
      <c r="B14" s="9" t="s">
        <v>31</v>
      </c>
      <c r="C14" s="10" t="s">
        <v>61</v>
      </c>
      <c r="D14" s="11" t="s">
        <v>39</v>
      </c>
      <c r="E14" s="12" t="s">
        <v>73</v>
      </c>
      <c r="F14" s="4"/>
      <c r="G14" s="4"/>
      <c r="H14" s="13" t="str">
        <f t="shared" si="0"/>
        <v/>
      </c>
      <c r="I14" s="4"/>
    </row>
    <row r="15" spans="1:9" x14ac:dyDescent="0.25">
      <c r="A15" s="8" t="s">
        <v>82</v>
      </c>
      <c r="B15" s="9" t="s">
        <v>32</v>
      </c>
      <c r="C15" s="10" t="s">
        <v>63</v>
      </c>
      <c r="D15" s="11" t="s">
        <v>38</v>
      </c>
      <c r="E15" s="12" t="s">
        <v>72</v>
      </c>
      <c r="F15" s="4"/>
      <c r="G15" s="4"/>
      <c r="H15" s="13" t="str">
        <f t="shared" si="0"/>
        <v/>
      </c>
      <c r="I15" s="4"/>
    </row>
    <row r="16" spans="1:9" x14ac:dyDescent="0.25">
      <c r="A16" s="8" t="s">
        <v>83</v>
      </c>
      <c r="B16" s="9" t="s">
        <v>34</v>
      </c>
      <c r="C16" s="10" t="s">
        <v>66</v>
      </c>
      <c r="D16" s="11" t="s">
        <v>36</v>
      </c>
      <c r="E16" s="12" t="s">
        <v>69</v>
      </c>
      <c r="F16" s="4"/>
      <c r="G16" s="4"/>
      <c r="H16" s="13" t="str">
        <f t="shared" si="0"/>
        <v/>
      </c>
      <c r="I16" s="4"/>
    </row>
    <row r="17" spans="1:9" x14ac:dyDescent="0.25">
      <c r="A17" s="8" t="s">
        <v>84</v>
      </c>
      <c r="B17" s="9" t="s">
        <v>37</v>
      </c>
      <c r="C17" s="10" t="s">
        <v>70</v>
      </c>
      <c r="D17" s="11" t="s">
        <v>30</v>
      </c>
      <c r="E17" s="12" t="s">
        <v>60</v>
      </c>
      <c r="F17" s="4"/>
      <c r="G17" s="4"/>
      <c r="H17" s="13" t="str">
        <f t="shared" si="0"/>
        <v/>
      </c>
      <c r="I17" s="4"/>
    </row>
    <row r="18" spans="1:9" x14ac:dyDescent="0.25">
      <c r="A18" s="8" t="s">
        <v>85</v>
      </c>
      <c r="B18" s="9" t="s">
        <v>35</v>
      </c>
      <c r="C18" s="10" t="s">
        <v>67</v>
      </c>
      <c r="D18" s="11" t="s">
        <v>39</v>
      </c>
      <c r="E18" s="12" t="s">
        <v>73</v>
      </c>
      <c r="F18" s="4"/>
      <c r="G18" s="4"/>
      <c r="H18" s="13" t="str">
        <f t="shared" si="0"/>
        <v/>
      </c>
      <c r="I18" s="4"/>
    </row>
    <row r="19" spans="1:9" x14ac:dyDescent="0.25">
      <c r="A19" s="8" t="s">
        <v>86</v>
      </c>
      <c r="B19" s="9" t="s">
        <v>33</v>
      </c>
      <c r="C19" s="10" t="s">
        <v>64</v>
      </c>
      <c r="D19" s="11" t="s">
        <v>38</v>
      </c>
      <c r="E19" s="12" t="s">
        <v>72</v>
      </c>
      <c r="F19" s="4"/>
      <c r="G19" s="4"/>
      <c r="H19" s="13" t="str">
        <f t="shared" si="0"/>
        <v/>
      </c>
      <c r="I19" s="4"/>
    </row>
    <row r="20" spans="1:9" x14ac:dyDescent="0.25">
      <c r="A20" s="8" t="s">
        <v>87</v>
      </c>
      <c r="B20" s="9" t="s">
        <v>31</v>
      </c>
      <c r="C20" s="10" t="s">
        <v>61</v>
      </c>
      <c r="D20" s="11" t="s">
        <v>36</v>
      </c>
      <c r="E20" s="12" t="s">
        <v>69</v>
      </c>
      <c r="F20" s="4"/>
      <c r="G20" s="4"/>
      <c r="H20" s="13" t="str">
        <f t="shared" si="0"/>
        <v/>
      </c>
      <c r="I20" s="4"/>
    </row>
    <row r="21" spans="1:9" x14ac:dyDescent="0.25">
      <c r="A21" s="8" t="s">
        <v>88</v>
      </c>
      <c r="B21" s="9" t="s">
        <v>32</v>
      </c>
      <c r="C21" s="10" t="s">
        <v>63</v>
      </c>
      <c r="D21" s="11" t="s">
        <v>34</v>
      </c>
      <c r="E21" s="12" t="s">
        <v>66</v>
      </c>
      <c r="F21" s="4"/>
      <c r="G21" s="4"/>
      <c r="H21" s="13" t="str">
        <f t="shared" si="0"/>
        <v/>
      </c>
      <c r="I21" s="4"/>
    </row>
    <row r="22" spans="1:9" x14ac:dyDescent="0.25">
      <c r="A22" s="8" t="s">
        <v>89</v>
      </c>
      <c r="B22" s="9" t="s">
        <v>30</v>
      </c>
      <c r="C22" s="10" t="s">
        <v>60</v>
      </c>
      <c r="D22" s="11" t="s">
        <v>39</v>
      </c>
      <c r="E22" s="12" t="s">
        <v>73</v>
      </c>
      <c r="F22" s="4"/>
      <c r="G22" s="4"/>
      <c r="H22" s="13" t="str">
        <f t="shared" si="0"/>
        <v/>
      </c>
      <c r="I22" s="4"/>
    </row>
    <row r="23" spans="1:9" x14ac:dyDescent="0.25">
      <c r="A23" s="8" t="s">
        <v>90</v>
      </c>
      <c r="B23" s="9" t="s">
        <v>37</v>
      </c>
      <c r="C23" s="10" t="s">
        <v>70</v>
      </c>
      <c r="D23" s="11" t="s">
        <v>38</v>
      </c>
      <c r="E23" s="12" t="s">
        <v>72</v>
      </c>
      <c r="F23" s="4"/>
      <c r="G23" s="4"/>
      <c r="H23" s="13" t="str">
        <f t="shared" si="0"/>
        <v/>
      </c>
      <c r="I23" s="4"/>
    </row>
    <row r="24" spans="1:9" x14ac:dyDescent="0.25">
      <c r="A24" s="8" t="s">
        <v>91</v>
      </c>
      <c r="B24" s="9" t="s">
        <v>35</v>
      </c>
      <c r="C24" s="10" t="s">
        <v>67</v>
      </c>
      <c r="D24" s="11" t="s">
        <v>36</v>
      </c>
      <c r="E24" s="12" t="s">
        <v>69</v>
      </c>
      <c r="F24" s="4"/>
      <c r="G24" s="4"/>
      <c r="H24" s="13" t="str">
        <f t="shared" si="0"/>
        <v/>
      </c>
      <c r="I24" s="4"/>
    </row>
    <row r="25" spans="1:9" x14ac:dyDescent="0.25">
      <c r="A25" s="8" t="s">
        <v>92</v>
      </c>
      <c r="B25" s="9" t="s">
        <v>33</v>
      </c>
      <c r="C25" s="10" t="s">
        <v>64</v>
      </c>
      <c r="D25" s="11" t="s">
        <v>34</v>
      </c>
      <c r="E25" s="12" t="s">
        <v>66</v>
      </c>
      <c r="F25" s="4"/>
      <c r="G25" s="4"/>
      <c r="H25" s="13" t="str">
        <f t="shared" si="0"/>
        <v/>
      </c>
      <c r="I25" s="4"/>
    </row>
    <row r="26" spans="1:9" x14ac:dyDescent="0.25">
      <c r="A26" s="8" t="s">
        <v>93</v>
      </c>
      <c r="B26" s="9" t="s">
        <v>31</v>
      </c>
      <c r="C26" s="10" t="s">
        <v>61</v>
      </c>
      <c r="D26" s="11" t="s">
        <v>32</v>
      </c>
      <c r="E26" s="12" t="s">
        <v>63</v>
      </c>
      <c r="F26" s="4"/>
      <c r="G26" s="4"/>
      <c r="H26" s="13" t="str">
        <f t="shared" si="0"/>
        <v/>
      </c>
      <c r="I26" s="4"/>
    </row>
    <row r="27" spans="1:9" x14ac:dyDescent="0.25">
      <c r="A27" s="8" t="s">
        <v>94</v>
      </c>
      <c r="B27" s="9" t="s">
        <v>38</v>
      </c>
      <c r="C27" s="10" t="s">
        <v>72</v>
      </c>
      <c r="D27" s="11" t="s">
        <v>30</v>
      </c>
      <c r="E27" s="12" t="s">
        <v>60</v>
      </c>
      <c r="F27" s="4"/>
      <c r="G27" s="4"/>
      <c r="H27" s="13" t="str">
        <f t="shared" si="0"/>
        <v/>
      </c>
      <c r="I27" s="4"/>
    </row>
    <row r="28" spans="1:9" x14ac:dyDescent="0.25">
      <c r="A28" s="8" t="s">
        <v>95</v>
      </c>
      <c r="B28" s="9" t="s">
        <v>39</v>
      </c>
      <c r="C28" s="10" t="s">
        <v>73</v>
      </c>
      <c r="D28" s="11" t="s">
        <v>36</v>
      </c>
      <c r="E28" s="12" t="s">
        <v>69</v>
      </c>
      <c r="F28" s="4"/>
      <c r="G28" s="4"/>
      <c r="H28" s="13" t="str">
        <f t="shared" si="0"/>
        <v/>
      </c>
      <c r="I28" s="4"/>
    </row>
    <row r="29" spans="1:9" x14ac:dyDescent="0.25">
      <c r="A29" s="8" t="s">
        <v>96</v>
      </c>
      <c r="B29" s="9" t="s">
        <v>37</v>
      </c>
      <c r="C29" s="10" t="s">
        <v>70</v>
      </c>
      <c r="D29" s="11" t="s">
        <v>34</v>
      </c>
      <c r="E29" s="12" t="s">
        <v>66</v>
      </c>
      <c r="F29" s="4"/>
      <c r="G29" s="4"/>
      <c r="H29" s="13" t="str">
        <f t="shared" si="0"/>
        <v/>
      </c>
      <c r="I29" s="4"/>
    </row>
    <row r="30" spans="1:9" x14ac:dyDescent="0.25">
      <c r="A30" s="8" t="s">
        <v>97</v>
      </c>
      <c r="B30" s="9" t="s">
        <v>35</v>
      </c>
      <c r="C30" s="10" t="s">
        <v>67</v>
      </c>
      <c r="D30" s="11" t="s">
        <v>32</v>
      </c>
      <c r="E30" s="12" t="s">
        <v>63</v>
      </c>
      <c r="F30" s="4"/>
      <c r="G30" s="4"/>
      <c r="H30" s="13" t="str">
        <f t="shared" si="0"/>
        <v/>
      </c>
      <c r="I30" s="4"/>
    </row>
    <row r="31" spans="1:9" x14ac:dyDescent="0.25">
      <c r="A31" s="8" t="s">
        <v>98</v>
      </c>
      <c r="B31" s="9" t="s">
        <v>33</v>
      </c>
      <c r="C31" s="10" t="s">
        <v>64</v>
      </c>
      <c r="D31" s="11" t="s">
        <v>31</v>
      </c>
      <c r="E31" s="12" t="s">
        <v>61</v>
      </c>
      <c r="F31" s="4"/>
      <c r="G31" s="4"/>
      <c r="H31" s="13" t="str">
        <f t="shared" si="0"/>
        <v/>
      </c>
      <c r="I31" s="4"/>
    </row>
    <row r="32" spans="1:9" x14ac:dyDescent="0.25">
      <c r="A32" s="8" t="s">
        <v>99</v>
      </c>
      <c r="B32" s="9" t="s">
        <v>30</v>
      </c>
      <c r="C32" s="10" t="s">
        <v>60</v>
      </c>
      <c r="D32" s="11" t="s">
        <v>36</v>
      </c>
      <c r="E32" s="12" t="s">
        <v>69</v>
      </c>
      <c r="F32" s="4"/>
      <c r="G32" s="4"/>
      <c r="H32" s="13" t="str">
        <f t="shared" si="0"/>
        <v/>
      </c>
      <c r="I32" s="4"/>
    </row>
    <row r="33" spans="1:9" x14ac:dyDescent="0.25">
      <c r="A33" s="8" t="s">
        <v>100</v>
      </c>
      <c r="B33" s="9" t="s">
        <v>38</v>
      </c>
      <c r="C33" s="10" t="s">
        <v>72</v>
      </c>
      <c r="D33" s="11" t="s">
        <v>34</v>
      </c>
      <c r="E33" s="12" t="s">
        <v>66</v>
      </c>
      <c r="F33" s="4"/>
      <c r="G33" s="4"/>
      <c r="H33" s="13" t="str">
        <f t="shared" si="0"/>
        <v/>
      </c>
      <c r="I33" s="4"/>
    </row>
    <row r="34" spans="1:9" x14ac:dyDescent="0.25">
      <c r="A34" s="8" t="s">
        <v>101</v>
      </c>
      <c r="B34" s="9" t="s">
        <v>39</v>
      </c>
      <c r="C34" s="10" t="s">
        <v>73</v>
      </c>
      <c r="D34" s="11" t="s">
        <v>32</v>
      </c>
      <c r="E34" s="12" t="s">
        <v>63</v>
      </c>
      <c r="F34" s="4"/>
      <c r="G34" s="4"/>
      <c r="H34" s="13" t="str">
        <f t="shared" si="0"/>
        <v/>
      </c>
      <c r="I34" s="4"/>
    </row>
    <row r="35" spans="1:9" x14ac:dyDescent="0.25">
      <c r="A35" s="8" t="s">
        <v>102</v>
      </c>
      <c r="B35" s="9" t="s">
        <v>37</v>
      </c>
      <c r="C35" s="10" t="s">
        <v>70</v>
      </c>
      <c r="D35" s="11" t="s">
        <v>31</v>
      </c>
      <c r="E35" s="12" t="s">
        <v>61</v>
      </c>
      <c r="F35" s="4"/>
      <c r="G35" s="4"/>
      <c r="H35" s="13" t="str">
        <f t="shared" si="0"/>
        <v/>
      </c>
      <c r="I35" s="4"/>
    </row>
    <row r="36" spans="1:9" x14ac:dyDescent="0.25">
      <c r="A36" s="8" t="s">
        <v>103</v>
      </c>
      <c r="B36" s="9" t="s">
        <v>35</v>
      </c>
      <c r="C36" s="10" t="s">
        <v>67</v>
      </c>
      <c r="D36" s="11" t="s">
        <v>33</v>
      </c>
      <c r="E36" s="12" t="s">
        <v>64</v>
      </c>
      <c r="F36" s="4"/>
      <c r="G36" s="4"/>
      <c r="H36" s="13" t="str">
        <f t="shared" si="0"/>
        <v/>
      </c>
      <c r="I36" s="4"/>
    </row>
    <row r="37" spans="1:9" x14ac:dyDescent="0.25">
      <c r="A37" s="8" t="s">
        <v>104</v>
      </c>
      <c r="B37" s="9" t="s">
        <v>34</v>
      </c>
      <c r="C37" s="10" t="s">
        <v>66</v>
      </c>
      <c r="D37" s="11" t="s">
        <v>30</v>
      </c>
      <c r="E37" s="12" t="s">
        <v>60</v>
      </c>
      <c r="F37" s="4"/>
      <c r="G37" s="4"/>
      <c r="H37" s="13" t="str">
        <f t="shared" si="0"/>
        <v/>
      </c>
      <c r="I37" s="4"/>
    </row>
    <row r="38" spans="1:9" x14ac:dyDescent="0.25">
      <c r="A38" s="8" t="s">
        <v>105</v>
      </c>
      <c r="B38" s="9" t="s">
        <v>36</v>
      </c>
      <c r="C38" s="10" t="s">
        <v>69</v>
      </c>
      <c r="D38" s="11" t="s">
        <v>32</v>
      </c>
      <c r="E38" s="12" t="s">
        <v>63</v>
      </c>
      <c r="F38" s="4"/>
      <c r="G38" s="4"/>
      <c r="H38" s="13" t="str">
        <f t="shared" si="0"/>
        <v/>
      </c>
      <c r="I38" s="4"/>
    </row>
    <row r="39" spans="1:9" x14ac:dyDescent="0.25">
      <c r="A39" s="8" t="s">
        <v>106</v>
      </c>
      <c r="B39" s="9" t="s">
        <v>38</v>
      </c>
      <c r="C39" s="10" t="s">
        <v>72</v>
      </c>
      <c r="D39" s="11" t="s">
        <v>31</v>
      </c>
      <c r="E39" s="12" t="s">
        <v>61</v>
      </c>
      <c r="F39" s="4"/>
      <c r="G39" s="4"/>
      <c r="H39" s="13" t="str">
        <f t="shared" si="0"/>
        <v/>
      </c>
      <c r="I39" s="4"/>
    </row>
    <row r="40" spans="1:9" x14ac:dyDescent="0.25">
      <c r="A40" s="8" t="s">
        <v>107</v>
      </c>
      <c r="B40" s="9" t="s">
        <v>39</v>
      </c>
      <c r="C40" s="10" t="s">
        <v>73</v>
      </c>
      <c r="D40" s="11" t="s">
        <v>33</v>
      </c>
      <c r="E40" s="12" t="s">
        <v>64</v>
      </c>
      <c r="F40" s="4"/>
      <c r="G40" s="4"/>
      <c r="H40" s="13" t="str">
        <f t="shared" si="0"/>
        <v/>
      </c>
      <c r="I40" s="4"/>
    </row>
    <row r="41" spans="1:9" x14ac:dyDescent="0.25">
      <c r="A41" s="8" t="s">
        <v>108</v>
      </c>
      <c r="B41" s="9" t="s">
        <v>37</v>
      </c>
      <c r="C41" s="10" t="s">
        <v>70</v>
      </c>
      <c r="D41" s="11" t="s">
        <v>35</v>
      </c>
      <c r="E41" s="12" t="s">
        <v>67</v>
      </c>
      <c r="F41" s="4"/>
      <c r="G41" s="4"/>
      <c r="H41" s="13" t="str">
        <f t="shared" si="0"/>
        <v/>
      </c>
      <c r="I41" s="4"/>
    </row>
    <row r="42" spans="1:9" x14ac:dyDescent="0.25">
      <c r="A42" s="8" t="s">
        <v>109</v>
      </c>
      <c r="B42" s="9" t="s">
        <v>30</v>
      </c>
      <c r="C42" s="10" t="s">
        <v>60</v>
      </c>
      <c r="D42" s="11" t="s">
        <v>32</v>
      </c>
      <c r="E42" s="12" t="s">
        <v>63</v>
      </c>
      <c r="F42" s="4"/>
      <c r="G42" s="4"/>
      <c r="H42" s="13" t="str">
        <f t="shared" si="0"/>
        <v/>
      </c>
      <c r="I42" s="4"/>
    </row>
    <row r="43" spans="1:9" x14ac:dyDescent="0.25">
      <c r="A43" s="8" t="s">
        <v>110</v>
      </c>
      <c r="B43" s="9" t="s">
        <v>34</v>
      </c>
      <c r="C43" s="10" t="s">
        <v>66</v>
      </c>
      <c r="D43" s="11" t="s">
        <v>31</v>
      </c>
      <c r="E43" s="12" t="s">
        <v>61</v>
      </c>
      <c r="F43" s="4"/>
      <c r="G43" s="4"/>
      <c r="H43" s="13" t="str">
        <f t="shared" si="0"/>
        <v/>
      </c>
      <c r="I43" s="4"/>
    </row>
    <row r="44" spans="1:9" x14ac:dyDescent="0.25">
      <c r="A44" s="8" t="s">
        <v>111</v>
      </c>
      <c r="B44" s="9" t="s">
        <v>36</v>
      </c>
      <c r="C44" s="10" t="s">
        <v>69</v>
      </c>
      <c r="D44" s="11" t="s">
        <v>33</v>
      </c>
      <c r="E44" s="12" t="s">
        <v>64</v>
      </c>
      <c r="F44" s="4"/>
      <c r="G44" s="4"/>
      <c r="H44" s="13" t="str">
        <f t="shared" si="0"/>
        <v/>
      </c>
      <c r="I44" s="4"/>
    </row>
    <row r="45" spans="1:9" x14ac:dyDescent="0.25">
      <c r="A45" s="8" t="s">
        <v>112</v>
      </c>
      <c r="B45" s="9" t="s">
        <v>38</v>
      </c>
      <c r="C45" s="10" t="s">
        <v>72</v>
      </c>
      <c r="D45" s="11" t="s">
        <v>35</v>
      </c>
      <c r="E45" s="12" t="s">
        <v>67</v>
      </c>
      <c r="F45" s="4"/>
      <c r="G45" s="4"/>
      <c r="H45" s="13" t="str">
        <f t="shared" si="0"/>
        <v/>
      </c>
      <c r="I45" s="4"/>
    </row>
    <row r="46" spans="1:9" x14ac:dyDescent="0.25">
      <c r="A46" s="8" t="s">
        <v>113</v>
      </c>
      <c r="B46" s="9" t="s">
        <v>39</v>
      </c>
      <c r="C46" s="10" t="s">
        <v>73</v>
      </c>
      <c r="D46" s="11" t="s">
        <v>37</v>
      </c>
      <c r="E46" s="12" t="s">
        <v>70</v>
      </c>
      <c r="F46" s="4"/>
      <c r="G46" s="4"/>
      <c r="H46" s="13" t="str">
        <f t="shared" si="0"/>
        <v/>
      </c>
      <c r="I46" s="4"/>
    </row>
    <row r="48" spans="1:9" x14ac:dyDescent="0.25">
      <c r="A48" s="7"/>
    </row>
  </sheetData>
  <autoFilter ref="A1:I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zoomScaleNormal="100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C53" sqref="C53"/>
    </sheetView>
  </sheetViews>
  <sheetFormatPr defaultColWidth="8.7109375" defaultRowHeight="15" x14ac:dyDescent="0.25"/>
  <cols>
    <col min="1" max="1" width="7" customWidth="1"/>
    <col min="2" max="2" width="19" customWidth="1"/>
    <col min="3" max="3" width="51" customWidth="1"/>
    <col min="4" max="4" width="19" customWidth="1"/>
    <col min="5" max="5" width="45.140625" customWidth="1"/>
    <col min="6" max="6" width="10" customWidth="1"/>
    <col min="7" max="7" width="11" customWidth="1"/>
    <col min="8" max="8" width="19" customWidth="1"/>
    <col min="9" max="9" width="26" customWidth="1"/>
  </cols>
  <sheetData>
    <row r="1" spans="1:9" ht="30" customHeigh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28</v>
      </c>
    </row>
    <row r="2" spans="1:9" x14ac:dyDescent="0.25">
      <c r="A2" s="8" t="s">
        <v>114</v>
      </c>
      <c r="B2" s="9" t="s">
        <v>41</v>
      </c>
      <c r="C2" s="10" t="s">
        <v>115</v>
      </c>
      <c r="D2" s="11" t="s">
        <v>42</v>
      </c>
      <c r="E2" s="12" t="s">
        <v>116</v>
      </c>
      <c r="F2" s="4"/>
      <c r="G2" s="4"/>
      <c r="H2" s="13" t="str">
        <f t="shared" ref="H2:H46" si="0">IF(COUNT(F2:G2)&lt;2,"",IF(F2&gt;G2,$B2,IF(G2&gt;F2,$D2,"Egal")))</f>
        <v/>
      </c>
      <c r="I2" s="4"/>
    </row>
    <row r="3" spans="1:9" x14ac:dyDescent="0.25">
      <c r="A3" s="8" t="s">
        <v>117</v>
      </c>
      <c r="B3" s="9" t="s">
        <v>43</v>
      </c>
      <c r="C3" s="10" t="s">
        <v>118</v>
      </c>
      <c r="D3" s="11" t="s">
        <v>44</v>
      </c>
      <c r="E3" s="12" t="s">
        <v>119</v>
      </c>
      <c r="F3" s="4"/>
      <c r="G3" s="4"/>
      <c r="H3" s="13" t="str">
        <f t="shared" si="0"/>
        <v/>
      </c>
      <c r="I3" s="4"/>
    </row>
    <row r="4" spans="1:9" x14ac:dyDescent="0.25">
      <c r="A4" s="8" t="s">
        <v>120</v>
      </c>
      <c r="B4" s="9" t="s">
        <v>45</v>
      </c>
      <c r="C4" s="10" t="s">
        <v>121</v>
      </c>
      <c r="D4" s="11" t="s">
        <v>46</v>
      </c>
      <c r="E4" s="12" t="s">
        <v>122</v>
      </c>
      <c r="F4" s="4"/>
      <c r="G4" s="4"/>
      <c r="H4" s="13" t="str">
        <f t="shared" si="0"/>
        <v/>
      </c>
      <c r="I4" s="4"/>
    </row>
    <row r="5" spans="1:9" x14ac:dyDescent="0.25">
      <c r="A5" s="8" t="s">
        <v>123</v>
      </c>
      <c r="B5" s="9" t="s">
        <v>47</v>
      </c>
      <c r="C5" s="10" t="s">
        <v>124</v>
      </c>
      <c r="D5" s="11" t="s">
        <v>48</v>
      </c>
      <c r="E5" s="12" t="s">
        <v>125</v>
      </c>
      <c r="F5" s="4"/>
      <c r="G5" s="4"/>
      <c r="H5" s="13" t="str">
        <f t="shared" si="0"/>
        <v/>
      </c>
      <c r="I5" s="4"/>
    </row>
    <row r="6" spans="1:9" x14ac:dyDescent="0.25">
      <c r="A6" s="8" t="s">
        <v>126</v>
      </c>
      <c r="B6" s="9" t="s">
        <v>49</v>
      </c>
      <c r="C6" s="10" t="s">
        <v>127</v>
      </c>
      <c r="D6" s="11" t="s">
        <v>50</v>
      </c>
      <c r="E6" s="12" t="s">
        <v>128</v>
      </c>
      <c r="F6" s="4"/>
      <c r="G6" s="4"/>
      <c r="H6" s="13" t="str">
        <f t="shared" si="0"/>
        <v/>
      </c>
      <c r="I6" s="4"/>
    </row>
    <row r="7" spans="1:9" x14ac:dyDescent="0.25">
      <c r="A7" s="8" t="s">
        <v>129</v>
      </c>
      <c r="B7" s="9" t="s">
        <v>44</v>
      </c>
      <c r="C7" s="10" t="s">
        <v>119</v>
      </c>
      <c r="D7" s="11" t="s">
        <v>41</v>
      </c>
      <c r="E7" s="12" t="s">
        <v>115</v>
      </c>
      <c r="F7" s="4"/>
      <c r="G7" s="4"/>
      <c r="H7" s="13" t="str">
        <f t="shared" si="0"/>
        <v/>
      </c>
      <c r="I7" s="4"/>
    </row>
    <row r="8" spans="1:9" x14ac:dyDescent="0.25">
      <c r="A8" s="8" t="s">
        <v>130</v>
      </c>
      <c r="B8" s="9" t="s">
        <v>42</v>
      </c>
      <c r="C8" s="10" t="s">
        <v>116</v>
      </c>
      <c r="D8" s="11" t="s">
        <v>46</v>
      </c>
      <c r="E8" s="12" t="s">
        <v>122</v>
      </c>
      <c r="F8" s="4"/>
      <c r="G8" s="4"/>
      <c r="H8" s="13" t="str">
        <f t="shared" si="0"/>
        <v/>
      </c>
      <c r="I8" s="4"/>
    </row>
    <row r="9" spans="1:9" x14ac:dyDescent="0.25">
      <c r="A9" s="8" t="s">
        <v>131</v>
      </c>
      <c r="B9" s="9" t="s">
        <v>43</v>
      </c>
      <c r="C9" s="10" t="s">
        <v>118</v>
      </c>
      <c r="D9" s="11" t="s">
        <v>48</v>
      </c>
      <c r="E9" s="12" t="s">
        <v>125</v>
      </c>
      <c r="F9" s="4"/>
      <c r="G9" s="4"/>
      <c r="H9" s="13" t="str">
        <f t="shared" si="0"/>
        <v/>
      </c>
      <c r="I9" s="4"/>
    </row>
    <row r="10" spans="1:9" x14ac:dyDescent="0.25">
      <c r="A10" s="8" t="s">
        <v>132</v>
      </c>
      <c r="B10" s="9" t="s">
        <v>45</v>
      </c>
      <c r="C10" s="10" t="s">
        <v>121</v>
      </c>
      <c r="D10" s="11" t="s">
        <v>50</v>
      </c>
      <c r="E10" s="12" t="s">
        <v>128</v>
      </c>
      <c r="F10" s="4"/>
      <c r="G10" s="4"/>
      <c r="H10" s="13" t="str">
        <f t="shared" si="0"/>
        <v/>
      </c>
      <c r="I10" s="4"/>
    </row>
    <row r="11" spans="1:9" x14ac:dyDescent="0.25">
      <c r="A11" s="8" t="s">
        <v>133</v>
      </c>
      <c r="B11" s="9" t="s">
        <v>47</v>
      </c>
      <c r="C11" s="10" t="s">
        <v>124</v>
      </c>
      <c r="D11" s="11" t="s">
        <v>49</v>
      </c>
      <c r="E11" s="12" t="s">
        <v>127</v>
      </c>
      <c r="F11" s="4"/>
      <c r="G11" s="4"/>
      <c r="H11" s="13" t="str">
        <f t="shared" si="0"/>
        <v/>
      </c>
      <c r="I11" s="4"/>
    </row>
    <row r="12" spans="1:9" x14ac:dyDescent="0.25">
      <c r="A12" s="8" t="s">
        <v>134</v>
      </c>
      <c r="B12" s="9" t="s">
        <v>41</v>
      </c>
      <c r="C12" s="10" t="s">
        <v>115</v>
      </c>
      <c r="D12" s="11" t="s">
        <v>46</v>
      </c>
      <c r="E12" s="12" t="s">
        <v>122</v>
      </c>
      <c r="F12" s="4"/>
      <c r="G12" s="4"/>
      <c r="H12" s="13" t="str">
        <f t="shared" si="0"/>
        <v/>
      </c>
      <c r="I12" s="4"/>
    </row>
    <row r="13" spans="1:9" x14ac:dyDescent="0.25">
      <c r="A13" s="8" t="s">
        <v>135</v>
      </c>
      <c r="B13" s="9" t="s">
        <v>44</v>
      </c>
      <c r="C13" s="10" t="s">
        <v>119</v>
      </c>
      <c r="D13" s="11" t="s">
        <v>48</v>
      </c>
      <c r="E13" s="12" t="s">
        <v>125</v>
      </c>
      <c r="F13" s="4"/>
      <c r="G13" s="4"/>
      <c r="H13" s="13" t="str">
        <f t="shared" si="0"/>
        <v/>
      </c>
      <c r="I13" s="4"/>
    </row>
    <row r="14" spans="1:9" x14ac:dyDescent="0.25">
      <c r="A14" s="8" t="s">
        <v>136</v>
      </c>
      <c r="B14" s="9" t="s">
        <v>42</v>
      </c>
      <c r="C14" s="10" t="s">
        <v>116</v>
      </c>
      <c r="D14" s="11" t="s">
        <v>50</v>
      </c>
      <c r="E14" s="12" t="s">
        <v>128</v>
      </c>
      <c r="F14" s="4"/>
      <c r="G14" s="4"/>
      <c r="H14" s="13" t="str">
        <f t="shared" si="0"/>
        <v/>
      </c>
      <c r="I14" s="4"/>
    </row>
    <row r="15" spans="1:9" x14ac:dyDescent="0.25">
      <c r="A15" s="8" t="s">
        <v>137</v>
      </c>
      <c r="B15" s="9" t="s">
        <v>43</v>
      </c>
      <c r="C15" s="10" t="s">
        <v>118</v>
      </c>
      <c r="D15" s="11" t="s">
        <v>49</v>
      </c>
      <c r="E15" s="12" t="s">
        <v>127</v>
      </c>
      <c r="F15" s="4"/>
      <c r="G15" s="4"/>
      <c r="H15" s="13" t="str">
        <f t="shared" si="0"/>
        <v/>
      </c>
      <c r="I15" s="4"/>
    </row>
    <row r="16" spans="1:9" x14ac:dyDescent="0.25">
      <c r="A16" s="8" t="s">
        <v>138</v>
      </c>
      <c r="B16" s="9" t="s">
        <v>45</v>
      </c>
      <c r="C16" s="10" t="s">
        <v>121</v>
      </c>
      <c r="D16" s="11" t="s">
        <v>47</v>
      </c>
      <c r="E16" s="12" t="s">
        <v>124</v>
      </c>
      <c r="F16" s="4"/>
      <c r="G16" s="4"/>
      <c r="H16" s="13" t="str">
        <f t="shared" si="0"/>
        <v/>
      </c>
      <c r="I16" s="4"/>
    </row>
    <row r="17" spans="1:9" x14ac:dyDescent="0.25">
      <c r="A17" s="8" t="s">
        <v>139</v>
      </c>
      <c r="B17" s="9" t="s">
        <v>48</v>
      </c>
      <c r="C17" s="10" t="s">
        <v>125</v>
      </c>
      <c r="D17" s="11" t="s">
        <v>41</v>
      </c>
      <c r="E17" s="12" t="s">
        <v>115</v>
      </c>
      <c r="F17" s="4"/>
      <c r="G17" s="4"/>
      <c r="H17" s="13" t="str">
        <f t="shared" si="0"/>
        <v/>
      </c>
      <c r="I17" s="4"/>
    </row>
    <row r="18" spans="1:9" x14ac:dyDescent="0.25">
      <c r="A18" s="8" t="s">
        <v>140</v>
      </c>
      <c r="B18" s="9" t="s">
        <v>46</v>
      </c>
      <c r="C18" s="10" t="s">
        <v>122</v>
      </c>
      <c r="D18" s="11" t="s">
        <v>50</v>
      </c>
      <c r="E18" s="12" t="s">
        <v>128</v>
      </c>
      <c r="F18" s="4"/>
      <c r="G18" s="4"/>
      <c r="H18" s="13" t="str">
        <f t="shared" si="0"/>
        <v/>
      </c>
      <c r="I18" s="4"/>
    </row>
    <row r="19" spans="1:9" x14ac:dyDescent="0.25">
      <c r="A19" s="8" t="s">
        <v>141</v>
      </c>
      <c r="B19" s="9" t="s">
        <v>44</v>
      </c>
      <c r="C19" s="10" t="s">
        <v>119</v>
      </c>
      <c r="D19" s="11" t="s">
        <v>49</v>
      </c>
      <c r="E19" s="12" t="s">
        <v>127</v>
      </c>
      <c r="F19" s="4"/>
      <c r="G19" s="4"/>
      <c r="H19" s="13" t="str">
        <f t="shared" si="0"/>
        <v/>
      </c>
      <c r="I19" s="4"/>
    </row>
    <row r="20" spans="1:9" x14ac:dyDescent="0.25">
      <c r="A20" s="8" t="s">
        <v>142</v>
      </c>
      <c r="B20" s="9" t="s">
        <v>42</v>
      </c>
      <c r="C20" s="10" t="s">
        <v>116</v>
      </c>
      <c r="D20" s="11" t="s">
        <v>47</v>
      </c>
      <c r="E20" s="12" t="s">
        <v>124</v>
      </c>
      <c r="F20" s="4"/>
      <c r="G20" s="4"/>
      <c r="H20" s="13" t="str">
        <f t="shared" si="0"/>
        <v/>
      </c>
      <c r="I20" s="4"/>
    </row>
    <row r="21" spans="1:9" x14ac:dyDescent="0.25">
      <c r="A21" s="8" t="s">
        <v>143</v>
      </c>
      <c r="B21" s="9" t="s">
        <v>43</v>
      </c>
      <c r="C21" s="10" t="s">
        <v>118</v>
      </c>
      <c r="D21" s="11" t="s">
        <v>45</v>
      </c>
      <c r="E21" s="12" t="s">
        <v>121</v>
      </c>
      <c r="F21" s="4"/>
      <c r="G21" s="4"/>
      <c r="H21" s="13" t="str">
        <f t="shared" si="0"/>
        <v/>
      </c>
      <c r="I21" s="4"/>
    </row>
    <row r="22" spans="1:9" x14ac:dyDescent="0.25">
      <c r="A22" s="8" t="s">
        <v>144</v>
      </c>
      <c r="B22" s="9" t="s">
        <v>41</v>
      </c>
      <c r="C22" s="10" t="s">
        <v>115</v>
      </c>
      <c r="D22" s="11" t="s">
        <v>50</v>
      </c>
      <c r="E22" s="12" t="s">
        <v>128</v>
      </c>
      <c r="F22" s="4"/>
      <c r="G22" s="4"/>
      <c r="H22" s="13" t="str">
        <f t="shared" si="0"/>
        <v/>
      </c>
      <c r="I22" s="4"/>
    </row>
    <row r="23" spans="1:9" x14ac:dyDescent="0.25">
      <c r="A23" s="8" t="s">
        <v>145</v>
      </c>
      <c r="B23" s="9" t="s">
        <v>48</v>
      </c>
      <c r="C23" s="10" t="s">
        <v>125</v>
      </c>
      <c r="D23" s="11" t="s">
        <v>49</v>
      </c>
      <c r="E23" s="12" t="s">
        <v>127</v>
      </c>
      <c r="F23" s="4"/>
      <c r="G23" s="4"/>
      <c r="H23" s="13" t="str">
        <f t="shared" si="0"/>
        <v/>
      </c>
      <c r="I23" s="4"/>
    </row>
    <row r="24" spans="1:9" x14ac:dyDescent="0.25">
      <c r="A24" s="8" t="s">
        <v>146</v>
      </c>
      <c r="B24" s="9" t="s">
        <v>46</v>
      </c>
      <c r="C24" s="10" t="s">
        <v>122</v>
      </c>
      <c r="D24" s="11" t="s">
        <v>47</v>
      </c>
      <c r="E24" s="12" t="s">
        <v>124</v>
      </c>
      <c r="F24" s="4"/>
      <c r="G24" s="4"/>
      <c r="H24" s="13" t="str">
        <f t="shared" si="0"/>
        <v/>
      </c>
      <c r="I24" s="4"/>
    </row>
    <row r="25" spans="1:9" x14ac:dyDescent="0.25">
      <c r="A25" s="8" t="s">
        <v>147</v>
      </c>
      <c r="B25" s="9" t="s">
        <v>44</v>
      </c>
      <c r="C25" s="10" t="s">
        <v>119</v>
      </c>
      <c r="D25" s="11" t="s">
        <v>45</v>
      </c>
      <c r="E25" s="12" t="s">
        <v>121</v>
      </c>
      <c r="F25" s="4"/>
      <c r="G25" s="4"/>
      <c r="H25" s="13" t="str">
        <f t="shared" si="0"/>
        <v/>
      </c>
      <c r="I25" s="4"/>
    </row>
    <row r="26" spans="1:9" x14ac:dyDescent="0.25">
      <c r="A26" s="8" t="s">
        <v>148</v>
      </c>
      <c r="B26" s="9" t="s">
        <v>42</v>
      </c>
      <c r="C26" s="10" t="s">
        <v>116</v>
      </c>
      <c r="D26" s="11" t="s">
        <v>43</v>
      </c>
      <c r="E26" s="12" t="s">
        <v>118</v>
      </c>
      <c r="F26" s="4"/>
      <c r="G26" s="4"/>
      <c r="H26" s="13" t="str">
        <f t="shared" si="0"/>
        <v/>
      </c>
      <c r="I26" s="4"/>
    </row>
    <row r="27" spans="1:9" x14ac:dyDescent="0.25">
      <c r="A27" s="8" t="s">
        <v>149</v>
      </c>
      <c r="B27" s="9" t="s">
        <v>49</v>
      </c>
      <c r="C27" s="10" t="s">
        <v>127</v>
      </c>
      <c r="D27" s="11" t="s">
        <v>41</v>
      </c>
      <c r="E27" s="12" t="s">
        <v>115</v>
      </c>
      <c r="F27" s="4"/>
      <c r="G27" s="4"/>
      <c r="H27" s="13" t="str">
        <f t="shared" si="0"/>
        <v/>
      </c>
      <c r="I27" s="4"/>
    </row>
    <row r="28" spans="1:9" x14ac:dyDescent="0.25">
      <c r="A28" s="8" t="s">
        <v>150</v>
      </c>
      <c r="B28" s="9" t="s">
        <v>50</v>
      </c>
      <c r="C28" s="10" t="s">
        <v>128</v>
      </c>
      <c r="D28" s="11" t="s">
        <v>47</v>
      </c>
      <c r="E28" s="12" t="s">
        <v>124</v>
      </c>
      <c r="F28" s="4"/>
      <c r="G28" s="4"/>
      <c r="H28" s="13" t="str">
        <f t="shared" si="0"/>
        <v/>
      </c>
      <c r="I28" s="4"/>
    </row>
    <row r="29" spans="1:9" x14ac:dyDescent="0.25">
      <c r="A29" s="8" t="s">
        <v>151</v>
      </c>
      <c r="B29" s="9" t="s">
        <v>48</v>
      </c>
      <c r="C29" s="10" t="s">
        <v>125</v>
      </c>
      <c r="D29" s="11" t="s">
        <v>45</v>
      </c>
      <c r="E29" s="12" t="s">
        <v>121</v>
      </c>
      <c r="F29" s="4"/>
      <c r="G29" s="4"/>
      <c r="H29" s="13" t="str">
        <f t="shared" si="0"/>
        <v/>
      </c>
      <c r="I29" s="4"/>
    </row>
    <row r="30" spans="1:9" x14ac:dyDescent="0.25">
      <c r="A30" s="8" t="s">
        <v>152</v>
      </c>
      <c r="B30" s="9" t="s">
        <v>46</v>
      </c>
      <c r="C30" s="10" t="s">
        <v>122</v>
      </c>
      <c r="D30" s="11" t="s">
        <v>43</v>
      </c>
      <c r="E30" s="12" t="s">
        <v>118</v>
      </c>
      <c r="F30" s="4"/>
      <c r="G30" s="4"/>
      <c r="H30" s="13" t="str">
        <f t="shared" si="0"/>
        <v/>
      </c>
      <c r="I30" s="4"/>
    </row>
    <row r="31" spans="1:9" x14ac:dyDescent="0.25">
      <c r="A31" s="8" t="s">
        <v>153</v>
      </c>
      <c r="B31" s="9" t="s">
        <v>44</v>
      </c>
      <c r="C31" s="10" t="s">
        <v>119</v>
      </c>
      <c r="D31" s="11" t="s">
        <v>42</v>
      </c>
      <c r="E31" s="12" t="s">
        <v>116</v>
      </c>
      <c r="F31" s="4"/>
      <c r="G31" s="4"/>
      <c r="H31" s="13" t="str">
        <f t="shared" si="0"/>
        <v/>
      </c>
      <c r="I31" s="4"/>
    </row>
    <row r="32" spans="1:9" x14ac:dyDescent="0.25">
      <c r="A32" s="8" t="s">
        <v>154</v>
      </c>
      <c r="B32" s="9" t="s">
        <v>41</v>
      </c>
      <c r="C32" s="10" t="s">
        <v>115</v>
      </c>
      <c r="D32" s="11" t="s">
        <v>47</v>
      </c>
      <c r="E32" s="12" t="s">
        <v>124</v>
      </c>
      <c r="F32" s="4"/>
      <c r="G32" s="4"/>
      <c r="H32" s="13" t="str">
        <f t="shared" si="0"/>
        <v/>
      </c>
      <c r="I32" s="4"/>
    </row>
    <row r="33" spans="1:9" x14ac:dyDescent="0.25">
      <c r="A33" s="8" t="s">
        <v>155</v>
      </c>
      <c r="B33" s="9" t="s">
        <v>49</v>
      </c>
      <c r="C33" s="10" t="s">
        <v>127</v>
      </c>
      <c r="D33" s="11" t="s">
        <v>45</v>
      </c>
      <c r="E33" s="12" t="s">
        <v>121</v>
      </c>
      <c r="F33" s="4"/>
      <c r="G33" s="4"/>
      <c r="H33" s="13" t="str">
        <f t="shared" si="0"/>
        <v/>
      </c>
      <c r="I33" s="4"/>
    </row>
    <row r="34" spans="1:9" x14ac:dyDescent="0.25">
      <c r="A34" s="8" t="s">
        <v>156</v>
      </c>
      <c r="B34" s="9" t="s">
        <v>50</v>
      </c>
      <c r="C34" s="10" t="s">
        <v>128</v>
      </c>
      <c r="D34" s="11" t="s">
        <v>43</v>
      </c>
      <c r="E34" s="12" t="s">
        <v>118</v>
      </c>
      <c r="F34" s="4"/>
      <c r="G34" s="4"/>
      <c r="H34" s="13" t="str">
        <f t="shared" si="0"/>
        <v/>
      </c>
      <c r="I34" s="4"/>
    </row>
    <row r="35" spans="1:9" x14ac:dyDescent="0.25">
      <c r="A35" s="8" t="s">
        <v>157</v>
      </c>
      <c r="B35" s="9" t="s">
        <v>48</v>
      </c>
      <c r="C35" s="10" t="s">
        <v>125</v>
      </c>
      <c r="D35" s="11" t="s">
        <v>42</v>
      </c>
      <c r="E35" s="12" t="s">
        <v>116</v>
      </c>
      <c r="F35" s="4"/>
      <c r="G35" s="4"/>
      <c r="H35" s="13" t="str">
        <f t="shared" si="0"/>
        <v/>
      </c>
      <c r="I35" s="4"/>
    </row>
    <row r="36" spans="1:9" x14ac:dyDescent="0.25">
      <c r="A36" s="8" t="s">
        <v>158</v>
      </c>
      <c r="B36" s="9" t="s">
        <v>46</v>
      </c>
      <c r="C36" s="10" t="s">
        <v>122</v>
      </c>
      <c r="D36" s="11" t="s">
        <v>44</v>
      </c>
      <c r="E36" s="12" t="s">
        <v>119</v>
      </c>
      <c r="F36" s="4"/>
      <c r="G36" s="4"/>
      <c r="H36" s="13" t="str">
        <f t="shared" si="0"/>
        <v/>
      </c>
      <c r="I36" s="4"/>
    </row>
    <row r="37" spans="1:9" x14ac:dyDescent="0.25">
      <c r="A37" s="8" t="s">
        <v>159</v>
      </c>
      <c r="B37" s="9" t="s">
        <v>45</v>
      </c>
      <c r="C37" s="10" t="s">
        <v>121</v>
      </c>
      <c r="D37" s="11" t="s">
        <v>41</v>
      </c>
      <c r="E37" s="12" t="s">
        <v>115</v>
      </c>
      <c r="F37" s="4"/>
      <c r="G37" s="4"/>
      <c r="H37" s="13" t="str">
        <f t="shared" si="0"/>
        <v/>
      </c>
      <c r="I37" s="4"/>
    </row>
    <row r="38" spans="1:9" x14ac:dyDescent="0.25">
      <c r="A38" s="8" t="s">
        <v>160</v>
      </c>
      <c r="B38" s="9" t="s">
        <v>47</v>
      </c>
      <c r="C38" s="10" t="s">
        <v>124</v>
      </c>
      <c r="D38" s="11" t="s">
        <v>43</v>
      </c>
      <c r="E38" s="12" t="s">
        <v>118</v>
      </c>
      <c r="F38" s="4"/>
      <c r="G38" s="4"/>
      <c r="H38" s="13" t="str">
        <f t="shared" si="0"/>
        <v/>
      </c>
      <c r="I38" s="4"/>
    </row>
    <row r="39" spans="1:9" x14ac:dyDescent="0.25">
      <c r="A39" s="8" t="s">
        <v>161</v>
      </c>
      <c r="B39" s="9" t="s">
        <v>49</v>
      </c>
      <c r="C39" s="10" t="s">
        <v>127</v>
      </c>
      <c r="D39" s="11" t="s">
        <v>42</v>
      </c>
      <c r="E39" s="12" t="s">
        <v>116</v>
      </c>
      <c r="F39" s="4"/>
      <c r="G39" s="4"/>
      <c r="H39" s="13" t="str">
        <f t="shared" si="0"/>
        <v/>
      </c>
      <c r="I39" s="4"/>
    </row>
    <row r="40" spans="1:9" x14ac:dyDescent="0.25">
      <c r="A40" s="8" t="s">
        <v>162</v>
      </c>
      <c r="B40" s="9" t="s">
        <v>50</v>
      </c>
      <c r="C40" s="10" t="s">
        <v>128</v>
      </c>
      <c r="D40" s="11" t="s">
        <v>44</v>
      </c>
      <c r="E40" s="12" t="s">
        <v>119</v>
      </c>
      <c r="F40" s="4"/>
      <c r="G40" s="4"/>
      <c r="H40" s="13" t="str">
        <f t="shared" si="0"/>
        <v/>
      </c>
      <c r="I40" s="4"/>
    </row>
    <row r="41" spans="1:9" x14ac:dyDescent="0.25">
      <c r="A41" s="8" t="s">
        <v>163</v>
      </c>
      <c r="B41" s="9" t="s">
        <v>48</v>
      </c>
      <c r="C41" s="10" t="s">
        <v>125</v>
      </c>
      <c r="D41" s="11" t="s">
        <v>46</v>
      </c>
      <c r="E41" s="12" t="s">
        <v>122</v>
      </c>
      <c r="F41" s="4"/>
      <c r="G41" s="4"/>
      <c r="H41" s="13" t="str">
        <f t="shared" si="0"/>
        <v/>
      </c>
      <c r="I41" s="4"/>
    </row>
    <row r="42" spans="1:9" x14ac:dyDescent="0.25">
      <c r="A42" s="8" t="s">
        <v>164</v>
      </c>
      <c r="B42" s="9" t="s">
        <v>41</v>
      </c>
      <c r="C42" s="10" t="s">
        <v>115</v>
      </c>
      <c r="D42" s="11" t="s">
        <v>43</v>
      </c>
      <c r="E42" s="12" t="s">
        <v>118</v>
      </c>
      <c r="F42" s="4"/>
      <c r="G42" s="4"/>
      <c r="H42" s="13" t="str">
        <f t="shared" si="0"/>
        <v/>
      </c>
      <c r="I42" s="4"/>
    </row>
    <row r="43" spans="1:9" x14ac:dyDescent="0.25">
      <c r="A43" s="8" t="s">
        <v>165</v>
      </c>
      <c r="B43" s="9" t="s">
        <v>45</v>
      </c>
      <c r="C43" s="10" t="s">
        <v>121</v>
      </c>
      <c r="D43" s="11" t="s">
        <v>42</v>
      </c>
      <c r="E43" s="12" t="s">
        <v>116</v>
      </c>
      <c r="F43" s="4"/>
      <c r="G43" s="4"/>
      <c r="H43" s="13" t="str">
        <f t="shared" si="0"/>
        <v/>
      </c>
      <c r="I43" s="4"/>
    </row>
    <row r="44" spans="1:9" x14ac:dyDescent="0.25">
      <c r="A44" s="8" t="s">
        <v>166</v>
      </c>
      <c r="B44" s="9" t="s">
        <v>47</v>
      </c>
      <c r="C44" s="10" t="s">
        <v>124</v>
      </c>
      <c r="D44" s="11" t="s">
        <v>44</v>
      </c>
      <c r="E44" s="12" t="s">
        <v>119</v>
      </c>
      <c r="F44" s="4"/>
      <c r="G44" s="4"/>
      <c r="H44" s="13" t="str">
        <f t="shared" si="0"/>
        <v/>
      </c>
      <c r="I44" s="4"/>
    </row>
    <row r="45" spans="1:9" x14ac:dyDescent="0.25">
      <c r="A45" s="8" t="s">
        <v>167</v>
      </c>
      <c r="B45" s="9" t="s">
        <v>49</v>
      </c>
      <c r="C45" s="10" t="s">
        <v>127</v>
      </c>
      <c r="D45" s="11" t="s">
        <v>46</v>
      </c>
      <c r="E45" s="12" t="s">
        <v>122</v>
      </c>
      <c r="F45" s="4"/>
      <c r="G45" s="4"/>
      <c r="H45" s="13" t="str">
        <f t="shared" si="0"/>
        <v/>
      </c>
      <c r="I45" s="4"/>
    </row>
    <row r="46" spans="1:9" x14ac:dyDescent="0.25">
      <c r="A46" s="8" t="s">
        <v>168</v>
      </c>
      <c r="B46" s="9" t="s">
        <v>50</v>
      </c>
      <c r="C46" s="10" t="s">
        <v>128</v>
      </c>
      <c r="D46" s="11" t="s">
        <v>48</v>
      </c>
      <c r="E46" s="12" t="s">
        <v>125</v>
      </c>
      <c r="F46" s="4"/>
      <c r="G46" s="4"/>
      <c r="H46" s="13" t="str">
        <f t="shared" si="0"/>
        <v/>
      </c>
      <c r="I46" s="4"/>
    </row>
    <row r="48" spans="1:9" x14ac:dyDescent="0.25">
      <c r="A48" s="7"/>
    </row>
  </sheetData>
  <autoFilter ref="A1:I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81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25" sqref="I25"/>
    </sheetView>
  </sheetViews>
  <sheetFormatPr defaultColWidth="8.7109375" defaultRowHeight="15" x14ac:dyDescent="0.25"/>
  <cols>
    <col min="1" max="1" width="11" customWidth="1"/>
    <col min="2" max="2" width="7" customWidth="1"/>
    <col min="3" max="4" width="19" customWidth="1"/>
    <col min="5" max="6" width="9" customWidth="1"/>
    <col min="7" max="11" width="11" customWidth="1"/>
    <col min="12" max="12" width="8" customWidth="1"/>
    <col min="13" max="15" width="11" customWidth="1"/>
    <col min="16" max="16" width="9" customWidth="1"/>
    <col min="17" max="17" width="10" customWidth="1"/>
    <col min="18" max="19" width="9" customWidth="1"/>
    <col min="20" max="20" width="11" customWidth="1"/>
    <col min="21" max="21" width="9" customWidth="1"/>
    <col min="22" max="22" width="34" customWidth="1"/>
  </cols>
  <sheetData>
    <row r="1" spans="1:22" ht="43.5" customHeight="1" x14ac:dyDescent="0.25">
      <c r="A1" s="1" t="s">
        <v>27</v>
      </c>
      <c r="B1" s="1" t="s">
        <v>51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</row>
    <row r="2" spans="1:22" x14ac:dyDescent="0.25">
      <c r="A2" s="14" t="s">
        <v>29</v>
      </c>
      <c r="B2" s="15" t="s">
        <v>59</v>
      </c>
      <c r="C2" s="15" t="s">
        <v>30</v>
      </c>
      <c r="D2" s="3" t="s">
        <v>31</v>
      </c>
      <c r="E2" s="10" t="s">
        <v>189</v>
      </c>
      <c r="F2" s="4"/>
      <c r="G2" s="4"/>
      <c r="H2" s="4"/>
      <c r="I2" s="4"/>
      <c r="J2" s="4"/>
      <c r="K2" s="4"/>
      <c r="L2" s="4"/>
      <c r="M2" s="4"/>
      <c r="N2" s="4"/>
      <c r="O2" s="4"/>
      <c r="P2" s="13" t="str">
        <f t="shared" ref="P2:P33" si="0">IF(COUNT($F2:$I2)=0,"",$F2*3+$G2*3+$H2+$I2*2)</f>
        <v/>
      </c>
      <c r="Q2" s="13" t="str">
        <f t="shared" ref="Q2:Q33" si="1">IF(COUNT($J2:$M2)=0,"",$J2*3+$K2+$L2+$M2*2)</f>
        <v/>
      </c>
      <c r="R2" s="13" t="str">
        <f t="shared" ref="R2:R33" si="2">IF(COUNT($N2:$O2)=0,"",$N2*5+$O2*10+IF($O2=2,10,0))</f>
        <v/>
      </c>
      <c r="S2" s="16" t="str">
        <f t="shared" ref="S2:S33" si="3">IF(COUNT($F2:$O2)=0,"",SUM($P2:$R2))</f>
        <v/>
      </c>
      <c r="T2" s="13" t="str">
        <f t="shared" ref="T2:T33" si="4">IF(COUNT($G2,$H2,$J2,$K2)=0,"",SUM($G2,$H2,$J2,$K2))</f>
        <v/>
      </c>
      <c r="U2" s="4"/>
      <c r="V2" s="4"/>
    </row>
    <row r="3" spans="1:22" x14ac:dyDescent="0.25">
      <c r="A3" s="14" t="s">
        <v>29</v>
      </c>
      <c r="B3" s="15" t="s">
        <v>59</v>
      </c>
      <c r="C3" s="15" t="s">
        <v>31</v>
      </c>
      <c r="D3" s="3" t="s">
        <v>30</v>
      </c>
      <c r="E3" s="12" t="s">
        <v>190</v>
      </c>
      <c r="F3" s="4"/>
      <c r="G3" s="4"/>
      <c r="H3" s="4"/>
      <c r="I3" s="4"/>
      <c r="J3" s="4"/>
      <c r="K3" s="4"/>
      <c r="L3" s="4"/>
      <c r="M3" s="4"/>
      <c r="N3" s="4"/>
      <c r="O3" s="4"/>
      <c r="P3" s="13" t="str">
        <f t="shared" si="0"/>
        <v/>
      </c>
      <c r="Q3" s="13" t="str">
        <f t="shared" si="1"/>
        <v/>
      </c>
      <c r="R3" s="13" t="str">
        <f t="shared" si="2"/>
        <v/>
      </c>
      <c r="S3" s="16" t="str">
        <f t="shared" si="3"/>
        <v/>
      </c>
      <c r="T3" s="13" t="str">
        <f t="shared" si="4"/>
        <v/>
      </c>
      <c r="U3" s="4"/>
      <c r="V3" s="4"/>
    </row>
    <row r="4" spans="1:22" x14ac:dyDescent="0.25">
      <c r="A4" s="14" t="s">
        <v>29</v>
      </c>
      <c r="B4" s="15" t="s">
        <v>62</v>
      </c>
      <c r="C4" s="15" t="s">
        <v>32</v>
      </c>
      <c r="D4" s="3" t="s">
        <v>33</v>
      </c>
      <c r="E4" s="10" t="s">
        <v>189</v>
      </c>
      <c r="F4" s="4"/>
      <c r="G4" s="4"/>
      <c r="H4" s="4"/>
      <c r="I4" s="4"/>
      <c r="J4" s="4"/>
      <c r="K4" s="4"/>
      <c r="L4" s="4"/>
      <c r="M4" s="4"/>
      <c r="N4" s="4"/>
      <c r="O4" s="4"/>
      <c r="P4" s="13" t="str">
        <f t="shared" si="0"/>
        <v/>
      </c>
      <c r="Q4" s="13" t="str">
        <f t="shared" si="1"/>
        <v/>
      </c>
      <c r="R4" s="13" t="str">
        <f t="shared" si="2"/>
        <v/>
      </c>
      <c r="S4" s="16" t="str">
        <f t="shared" si="3"/>
        <v/>
      </c>
      <c r="T4" s="13" t="str">
        <f t="shared" si="4"/>
        <v/>
      </c>
      <c r="U4" s="4"/>
      <c r="V4" s="4"/>
    </row>
    <row r="5" spans="1:22" x14ac:dyDescent="0.25">
      <c r="A5" s="14" t="s">
        <v>29</v>
      </c>
      <c r="B5" s="15" t="s">
        <v>62</v>
      </c>
      <c r="C5" s="15" t="s">
        <v>33</v>
      </c>
      <c r="D5" s="3" t="s">
        <v>32</v>
      </c>
      <c r="E5" s="12" t="s">
        <v>190</v>
      </c>
      <c r="F5" s="4"/>
      <c r="G5" s="4"/>
      <c r="H5" s="4"/>
      <c r="I5" s="4"/>
      <c r="J5" s="4"/>
      <c r="K5" s="4"/>
      <c r="L5" s="4"/>
      <c r="M5" s="4"/>
      <c r="N5" s="4"/>
      <c r="O5" s="4"/>
      <c r="P5" s="13" t="str">
        <f t="shared" si="0"/>
        <v/>
      </c>
      <c r="Q5" s="13" t="str">
        <f t="shared" si="1"/>
        <v/>
      </c>
      <c r="R5" s="13" t="str">
        <f t="shared" si="2"/>
        <v/>
      </c>
      <c r="S5" s="16" t="str">
        <f t="shared" si="3"/>
        <v/>
      </c>
      <c r="T5" s="13" t="str">
        <f t="shared" si="4"/>
        <v/>
      </c>
      <c r="U5" s="4"/>
      <c r="V5" s="4"/>
    </row>
    <row r="6" spans="1:22" x14ac:dyDescent="0.25">
      <c r="A6" s="14" t="s">
        <v>29</v>
      </c>
      <c r="B6" s="15" t="s">
        <v>65</v>
      </c>
      <c r="C6" s="15" t="s">
        <v>34</v>
      </c>
      <c r="D6" s="3" t="s">
        <v>35</v>
      </c>
      <c r="E6" s="10" t="s">
        <v>189</v>
      </c>
      <c r="F6" s="4"/>
      <c r="G6" s="4"/>
      <c r="H6" s="4"/>
      <c r="I6" s="4"/>
      <c r="J6" s="4"/>
      <c r="K6" s="4"/>
      <c r="L6" s="4"/>
      <c r="M6" s="4"/>
      <c r="N6" s="4"/>
      <c r="O6" s="4"/>
      <c r="P6" s="13" t="str">
        <f t="shared" si="0"/>
        <v/>
      </c>
      <c r="Q6" s="13" t="str">
        <f t="shared" si="1"/>
        <v/>
      </c>
      <c r="R6" s="13" t="str">
        <f t="shared" si="2"/>
        <v/>
      </c>
      <c r="S6" s="16" t="str">
        <f t="shared" si="3"/>
        <v/>
      </c>
      <c r="T6" s="13" t="str">
        <f t="shared" si="4"/>
        <v/>
      </c>
      <c r="U6" s="4"/>
      <c r="V6" s="4"/>
    </row>
    <row r="7" spans="1:22" x14ac:dyDescent="0.25">
      <c r="A7" s="14" t="s">
        <v>29</v>
      </c>
      <c r="B7" s="15" t="s">
        <v>65</v>
      </c>
      <c r="C7" s="15" t="s">
        <v>35</v>
      </c>
      <c r="D7" s="3" t="s">
        <v>34</v>
      </c>
      <c r="E7" s="12" t="s">
        <v>190</v>
      </c>
      <c r="F7" s="4"/>
      <c r="G7" s="4"/>
      <c r="H7" s="4"/>
      <c r="I7" s="4"/>
      <c r="J7" s="4"/>
      <c r="K7" s="4"/>
      <c r="L7" s="4"/>
      <c r="M7" s="4"/>
      <c r="N7" s="4"/>
      <c r="O7" s="4"/>
      <c r="P7" s="13" t="str">
        <f t="shared" si="0"/>
        <v/>
      </c>
      <c r="Q7" s="13" t="str">
        <f t="shared" si="1"/>
        <v/>
      </c>
      <c r="R7" s="13" t="str">
        <f t="shared" si="2"/>
        <v/>
      </c>
      <c r="S7" s="16" t="str">
        <f t="shared" si="3"/>
        <v/>
      </c>
      <c r="T7" s="13" t="str">
        <f t="shared" si="4"/>
        <v/>
      </c>
      <c r="U7" s="4"/>
      <c r="V7" s="4"/>
    </row>
    <row r="8" spans="1:22" x14ac:dyDescent="0.25">
      <c r="A8" s="14" t="s">
        <v>29</v>
      </c>
      <c r="B8" s="15" t="s">
        <v>68</v>
      </c>
      <c r="C8" s="15" t="s">
        <v>36</v>
      </c>
      <c r="D8" s="3" t="s">
        <v>37</v>
      </c>
      <c r="E8" s="10" t="s">
        <v>189</v>
      </c>
      <c r="F8" s="4"/>
      <c r="G8" s="4"/>
      <c r="H8" s="4"/>
      <c r="I8" s="4"/>
      <c r="J8" s="4"/>
      <c r="K8" s="4"/>
      <c r="L8" s="4"/>
      <c r="M8" s="4"/>
      <c r="N8" s="4"/>
      <c r="O8" s="4"/>
      <c r="P8" s="13" t="str">
        <f t="shared" si="0"/>
        <v/>
      </c>
      <c r="Q8" s="13" t="str">
        <f t="shared" si="1"/>
        <v/>
      </c>
      <c r="R8" s="13" t="str">
        <f t="shared" si="2"/>
        <v/>
      </c>
      <c r="S8" s="16" t="str">
        <f t="shared" si="3"/>
        <v/>
      </c>
      <c r="T8" s="13" t="str">
        <f t="shared" si="4"/>
        <v/>
      </c>
      <c r="U8" s="4"/>
      <c r="V8" s="4"/>
    </row>
    <row r="9" spans="1:22" x14ac:dyDescent="0.25">
      <c r="A9" s="14" t="s">
        <v>29</v>
      </c>
      <c r="B9" s="15" t="s">
        <v>68</v>
      </c>
      <c r="C9" s="15" t="s">
        <v>37</v>
      </c>
      <c r="D9" s="3" t="s">
        <v>36</v>
      </c>
      <c r="E9" s="12" t="s">
        <v>190</v>
      </c>
      <c r="F9" s="4"/>
      <c r="G9" s="4"/>
      <c r="H9" s="4"/>
      <c r="I9" s="4"/>
      <c r="J9" s="4"/>
      <c r="K9" s="4"/>
      <c r="L9" s="4"/>
      <c r="M9" s="4"/>
      <c r="N9" s="4"/>
      <c r="O9" s="4"/>
      <c r="P9" s="13" t="str">
        <f t="shared" si="0"/>
        <v/>
      </c>
      <c r="Q9" s="13" t="str">
        <f t="shared" si="1"/>
        <v/>
      </c>
      <c r="R9" s="13" t="str">
        <f t="shared" si="2"/>
        <v/>
      </c>
      <c r="S9" s="16" t="str">
        <f t="shared" si="3"/>
        <v/>
      </c>
      <c r="T9" s="13" t="str">
        <f t="shared" si="4"/>
        <v/>
      </c>
      <c r="U9" s="4"/>
      <c r="V9" s="4"/>
    </row>
    <row r="10" spans="1:22" x14ac:dyDescent="0.25">
      <c r="A10" s="14" t="s">
        <v>29</v>
      </c>
      <c r="B10" s="15" t="s">
        <v>71</v>
      </c>
      <c r="C10" s="15" t="s">
        <v>38</v>
      </c>
      <c r="D10" s="3" t="s">
        <v>39</v>
      </c>
      <c r="E10" s="10" t="s">
        <v>189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13" t="str">
        <f t="shared" si="0"/>
        <v/>
      </c>
      <c r="Q10" s="13" t="str">
        <f t="shared" si="1"/>
        <v/>
      </c>
      <c r="R10" s="13" t="str">
        <f t="shared" si="2"/>
        <v/>
      </c>
      <c r="S10" s="16" t="str">
        <f t="shared" si="3"/>
        <v/>
      </c>
      <c r="T10" s="13" t="str">
        <f t="shared" si="4"/>
        <v/>
      </c>
      <c r="U10" s="4"/>
      <c r="V10" s="4"/>
    </row>
    <row r="11" spans="1:22" x14ac:dyDescent="0.25">
      <c r="A11" s="14" t="s">
        <v>29</v>
      </c>
      <c r="B11" s="15" t="s">
        <v>71</v>
      </c>
      <c r="C11" s="15" t="s">
        <v>39</v>
      </c>
      <c r="D11" s="3" t="s">
        <v>38</v>
      </c>
      <c r="E11" s="12" t="s">
        <v>190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13" t="str">
        <f t="shared" si="0"/>
        <v/>
      </c>
      <c r="Q11" s="13" t="str">
        <f t="shared" si="1"/>
        <v/>
      </c>
      <c r="R11" s="13" t="str">
        <f t="shared" si="2"/>
        <v/>
      </c>
      <c r="S11" s="16" t="str">
        <f t="shared" si="3"/>
        <v/>
      </c>
      <c r="T11" s="13" t="str">
        <f t="shared" si="4"/>
        <v/>
      </c>
      <c r="U11" s="4"/>
      <c r="V11" s="4"/>
    </row>
    <row r="12" spans="1:22" x14ac:dyDescent="0.25">
      <c r="A12" s="14" t="s">
        <v>29</v>
      </c>
      <c r="B12" s="15" t="s">
        <v>74</v>
      </c>
      <c r="C12" s="15" t="s">
        <v>33</v>
      </c>
      <c r="D12" s="3" t="s">
        <v>30</v>
      </c>
      <c r="E12" s="10" t="s">
        <v>189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13" t="str">
        <f t="shared" si="0"/>
        <v/>
      </c>
      <c r="Q12" s="13" t="str">
        <f t="shared" si="1"/>
        <v/>
      </c>
      <c r="R12" s="13" t="str">
        <f t="shared" si="2"/>
        <v/>
      </c>
      <c r="S12" s="16" t="str">
        <f t="shared" si="3"/>
        <v/>
      </c>
      <c r="T12" s="13" t="str">
        <f t="shared" si="4"/>
        <v/>
      </c>
      <c r="U12" s="4"/>
      <c r="V12" s="4"/>
    </row>
    <row r="13" spans="1:22" x14ac:dyDescent="0.25">
      <c r="A13" s="14" t="s">
        <v>29</v>
      </c>
      <c r="B13" s="15" t="s">
        <v>74</v>
      </c>
      <c r="C13" s="15" t="s">
        <v>30</v>
      </c>
      <c r="D13" s="3" t="s">
        <v>33</v>
      </c>
      <c r="E13" s="12" t="s">
        <v>190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13" t="str">
        <f t="shared" si="0"/>
        <v/>
      </c>
      <c r="Q13" s="13" t="str">
        <f t="shared" si="1"/>
        <v/>
      </c>
      <c r="R13" s="13" t="str">
        <f t="shared" si="2"/>
        <v/>
      </c>
      <c r="S13" s="16" t="str">
        <f t="shared" si="3"/>
        <v/>
      </c>
      <c r="T13" s="13" t="str">
        <f t="shared" si="4"/>
        <v/>
      </c>
      <c r="U13" s="4"/>
      <c r="V13" s="4"/>
    </row>
    <row r="14" spans="1:22" x14ac:dyDescent="0.25">
      <c r="A14" s="14" t="s">
        <v>29</v>
      </c>
      <c r="B14" s="15" t="s">
        <v>75</v>
      </c>
      <c r="C14" s="15" t="s">
        <v>31</v>
      </c>
      <c r="D14" s="3" t="s">
        <v>35</v>
      </c>
      <c r="E14" s="10" t="s">
        <v>189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13" t="str">
        <f t="shared" si="0"/>
        <v/>
      </c>
      <c r="Q14" s="13" t="str">
        <f t="shared" si="1"/>
        <v/>
      </c>
      <c r="R14" s="13" t="str">
        <f t="shared" si="2"/>
        <v/>
      </c>
      <c r="S14" s="16" t="str">
        <f t="shared" si="3"/>
        <v/>
      </c>
      <c r="T14" s="13" t="str">
        <f t="shared" si="4"/>
        <v/>
      </c>
      <c r="U14" s="4"/>
      <c r="V14" s="4"/>
    </row>
    <row r="15" spans="1:22" x14ac:dyDescent="0.25">
      <c r="A15" s="14" t="s">
        <v>29</v>
      </c>
      <c r="B15" s="15" t="s">
        <v>75</v>
      </c>
      <c r="C15" s="15" t="s">
        <v>35</v>
      </c>
      <c r="D15" s="3" t="s">
        <v>31</v>
      </c>
      <c r="E15" s="12" t="s">
        <v>190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13" t="str">
        <f t="shared" si="0"/>
        <v/>
      </c>
      <c r="Q15" s="13" t="str">
        <f t="shared" si="1"/>
        <v/>
      </c>
      <c r="R15" s="13" t="str">
        <f t="shared" si="2"/>
        <v/>
      </c>
      <c r="S15" s="16" t="str">
        <f t="shared" si="3"/>
        <v/>
      </c>
      <c r="T15" s="13" t="str">
        <f t="shared" si="4"/>
        <v/>
      </c>
      <c r="U15" s="4"/>
      <c r="V15" s="4"/>
    </row>
    <row r="16" spans="1:22" x14ac:dyDescent="0.25">
      <c r="A16" s="14" t="s">
        <v>29</v>
      </c>
      <c r="B16" s="15" t="s">
        <v>76</v>
      </c>
      <c r="C16" s="15" t="s">
        <v>32</v>
      </c>
      <c r="D16" s="3" t="s">
        <v>37</v>
      </c>
      <c r="E16" s="10" t="s">
        <v>189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13" t="str">
        <f t="shared" si="0"/>
        <v/>
      </c>
      <c r="Q16" s="13" t="str">
        <f t="shared" si="1"/>
        <v/>
      </c>
      <c r="R16" s="13" t="str">
        <f t="shared" si="2"/>
        <v/>
      </c>
      <c r="S16" s="16" t="str">
        <f t="shared" si="3"/>
        <v/>
      </c>
      <c r="T16" s="13" t="str">
        <f t="shared" si="4"/>
        <v/>
      </c>
      <c r="U16" s="4"/>
      <c r="V16" s="4"/>
    </row>
    <row r="17" spans="1:22" x14ac:dyDescent="0.25">
      <c r="A17" s="14" t="s">
        <v>29</v>
      </c>
      <c r="B17" s="15" t="s">
        <v>76</v>
      </c>
      <c r="C17" s="15" t="s">
        <v>37</v>
      </c>
      <c r="D17" s="3" t="s">
        <v>32</v>
      </c>
      <c r="E17" s="12" t="s">
        <v>190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13" t="str">
        <f t="shared" si="0"/>
        <v/>
      </c>
      <c r="Q17" s="13" t="str">
        <f t="shared" si="1"/>
        <v/>
      </c>
      <c r="R17" s="13" t="str">
        <f t="shared" si="2"/>
        <v/>
      </c>
      <c r="S17" s="16" t="str">
        <f t="shared" si="3"/>
        <v/>
      </c>
      <c r="T17" s="13" t="str">
        <f t="shared" si="4"/>
        <v/>
      </c>
      <c r="U17" s="4"/>
      <c r="V17" s="4"/>
    </row>
    <row r="18" spans="1:22" x14ac:dyDescent="0.25">
      <c r="A18" s="14" t="s">
        <v>29</v>
      </c>
      <c r="B18" s="15" t="s">
        <v>77</v>
      </c>
      <c r="C18" s="15" t="s">
        <v>34</v>
      </c>
      <c r="D18" s="3" t="s">
        <v>39</v>
      </c>
      <c r="E18" s="10" t="s">
        <v>189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13" t="str">
        <f t="shared" si="0"/>
        <v/>
      </c>
      <c r="Q18" s="13" t="str">
        <f t="shared" si="1"/>
        <v/>
      </c>
      <c r="R18" s="13" t="str">
        <f t="shared" si="2"/>
        <v/>
      </c>
      <c r="S18" s="16" t="str">
        <f t="shared" si="3"/>
        <v/>
      </c>
      <c r="T18" s="13" t="str">
        <f t="shared" si="4"/>
        <v/>
      </c>
      <c r="U18" s="4"/>
      <c r="V18" s="4"/>
    </row>
    <row r="19" spans="1:22" x14ac:dyDescent="0.25">
      <c r="A19" s="14" t="s">
        <v>29</v>
      </c>
      <c r="B19" s="15" t="s">
        <v>77</v>
      </c>
      <c r="C19" s="15" t="s">
        <v>39</v>
      </c>
      <c r="D19" s="3" t="s">
        <v>34</v>
      </c>
      <c r="E19" s="12" t="s">
        <v>190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13" t="str">
        <f t="shared" si="0"/>
        <v/>
      </c>
      <c r="Q19" s="13" t="str">
        <f t="shared" si="1"/>
        <v/>
      </c>
      <c r="R19" s="13" t="str">
        <f t="shared" si="2"/>
        <v/>
      </c>
      <c r="S19" s="16" t="str">
        <f t="shared" si="3"/>
        <v/>
      </c>
      <c r="T19" s="13" t="str">
        <f t="shared" si="4"/>
        <v/>
      </c>
      <c r="U19" s="4"/>
      <c r="V19" s="4"/>
    </row>
    <row r="20" spans="1:22" x14ac:dyDescent="0.25">
      <c r="A20" s="14" t="s">
        <v>29</v>
      </c>
      <c r="B20" s="15" t="s">
        <v>78</v>
      </c>
      <c r="C20" s="15" t="s">
        <v>36</v>
      </c>
      <c r="D20" s="3" t="s">
        <v>38</v>
      </c>
      <c r="E20" s="10" t="s">
        <v>189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13" t="str">
        <f t="shared" si="0"/>
        <v/>
      </c>
      <c r="Q20" s="13" t="str">
        <f t="shared" si="1"/>
        <v/>
      </c>
      <c r="R20" s="13" t="str">
        <f t="shared" si="2"/>
        <v/>
      </c>
      <c r="S20" s="16" t="str">
        <f t="shared" si="3"/>
        <v/>
      </c>
      <c r="T20" s="13" t="str">
        <f t="shared" si="4"/>
        <v/>
      </c>
      <c r="U20" s="4"/>
      <c r="V20" s="4"/>
    </row>
    <row r="21" spans="1:22" x14ac:dyDescent="0.25">
      <c r="A21" s="14" t="s">
        <v>29</v>
      </c>
      <c r="B21" s="15" t="s">
        <v>78</v>
      </c>
      <c r="C21" s="15" t="s">
        <v>38</v>
      </c>
      <c r="D21" s="3" t="s">
        <v>36</v>
      </c>
      <c r="E21" s="12" t="s">
        <v>190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13" t="str">
        <f t="shared" si="0"/>
        <v/>
      </c>
      <c r="Q21" s="13" t="str">
        <f t="shared" si="1"/>
        <v/>
      </c>
      <c r="R21" s="13" t="str">
        <f t="shared" si="2"/>
        <v/>
      </c>
      <c r="S21" s="16" t="str">
        <f t="shared" si="3"/>
        <v/>
      </c>
      <c r="T21" s="13" t="str">
        <f t="shared" si="4"/>
        <v/>
      </c>
      <c r="U21" s="4"/>
      <c r="V21" s="4"/>
    </row>
    <row r="22" spans="1:22" x14ac:dyDescent="0.25">
      <c r="A22" s="14" t="s">
        <v>29</v>
      </c>
      <c r="B22" s="15" t="s">
        <v>79</v>
      </c>
      <c r="C22" s="15" t="s">
        <v>30</v>
      </c>
      <c r="D22" s="3" t="s">
        <v>35</v>
      </c>
      <c r="E22" s="10" t="s">
        <v>189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13" t="str">
        <f t="shared" si="0"/>
        <v/>
      </c>
      <c r="Q22" s="13" t="str">
        <f t="shared" si="1"/>
        <v/>
      </c>
      <c r="R22" s="13" t="str">
        <f t="shared" si="2"/>
        <v/>
      </c>
      <c r="S22" s="16" t="str">
        <f t="shared" si="3"/>
        <v/>
      </c>
      <c r="T22" s="13" t="str">
        <f t="shared" si="4"/>
        <v/>
      </c>
      <c r="U22" s="4"/>
      <c r="V22" s="4"/>
    </row>
    <row r="23" spans="1:22" x14ac:dyDescent="0.25">
      <c r="A23" s="14" t="s">
        <v>29</v>
      </c>
      <c r="B23" s="15" t="s">
        <v>79</v>
      </c>
      <c r="C23" s="15" t="s">
        <v>35</v>
      </c>
      <c r="D23" s="3" t="s">
        <v>30</v>
      </c>
      <c r="E23" s="12" t="s">
        <v>190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13" t="str">
        <f t="shared" si="0"/>
        <v/>
      </c>
      <c r="Q23" s="13" t="str">
        <f t="shared" si="1"/>
        <v/>
      </c>
      <c r="R23" s="13" t="str">
        <f t="shared" si="2"/>
        <v/>
      </c>
      <c r="S23" s="16" t="str">
        <f t="shared" si="3"/>
        <v/>
      </c>
      <c r="T23" s="13" t="str">
        <f t="shared" si="4"/>
        <v/>
      </c>
      <c r="U23" s="4"/>
      <c r="V23" s="4"/>
    </row>
    <row r="24" spans="1:22" x14ac:dyDescent="0.25">
      <c r="A24" s="14" t="s">
        <v>29</v>
      </c>
      <c r="B24" s="15" t="s">
        <v>80</v>
      </c>
      <c r="C24" s="15" t="s">
        <v>33</v>
      </c>
      <c r="D24" s="3" t="s">
        <v>37</v>
      </c>
      <c r="E24" s="10" t="s">
        <v>189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13" t="str">
        <f t="shared" si="0"/>
        <v/>
      </c>
      <c r="Q24" s="13" t="str">
        <f t="shared" si="1"/>
        <v/>
      </c>
      <c r="R24" s="13" t="str">
        <f t="shared" si="2"/>
        <v/>
      </c>
      <c r="S24" s="16" t="str">
        <f t="shared" si="3"/>
        <v/>
      </c>
      <c r="T24" s="13" t="str">
        <f t="shared" si="4"/>
        <v/>
      </c>
      <c r="U24" s="4"/>
      <c r="V24" s="4"/>
    </row>
    <row r="25" spans="1:22" x14ac:dyDescent="0.25">
      <c r="A25" s="14" t="s">
        <v>29</v>
      </c>
      <c r="B25" s="15" t="s">
        <v>80</v>
      </c>
      <c r="C25" s="15" t="s">
        <v>37</v>
      </c>
      <c r="D25" s="3" t="s">
        <v>33</v>
      </c>
      <c r="E25" s="12" t="s">
        <v>190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13" t="str">
        <f t="shared" si="0"/>
        <v/>
      </c>
      <c r="Q25" s="13" t="str">
        <f t="shared" si="1"/>
        <v/>
      </c>
      <c r="R25" s="13" t="str">
        <f t="shared" si="2"/>
        <v/>
      </c>
      <c r="S25" s="16" t="str">
        <f t="shared" si="3"/>
        <v/>
      </c>
      <c r="T25" s="13" t="str">
        <f t="shared" si="4"/>
        <v/>
      </c>
      <c r="U25" s="4"/>
      <c r="V25" s="4"/>
    </row>
    <row r="26" spans="1:22" x14ac:dyDescent="0.25">
      <c r="A26" s="14" t="s">
        <v>29</v>
      </c>
      <c r="B26" s="15" t="s">
        <v>81</v>
      </c>
      <c r="C26" s="15" t="s">
        <v>31</v>
      </c>
      <c r="D26" s="3" t="s">
        <v>39</v>
      </c>
      <c r="E26" s="10" t="s">
        <v>189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13" t="str">
        <f t="shared" si="0"/>
        <v/>
      </c>
      <c r="Q26" s="13" t="str">
        <f t="shared" si="1"/>
        <v/>
      </c>
      <c r="R26" s="13" t="str">
        <f t="shared" si="2"/>
        <v/>
      </c>
      <c r="S26" s="16" t="str">
        <f t="shared" si="3"/>
        <v/>
      </c>
      <c r="T26" s="13" t="str">
        <f t="shared" si="4"/>
        <v/>
      </c>
      <c r="U26" s="4"/>
      <c r="V26" s="4"/>
    </row>
    <row r="27" spans="1:22" x14ac:dyDescent="0.25">
      <c r="A27" s="14" t="s">
        <v>29</v>
      </c>
      <c r="B27" s="15" t="s">
        <v>81</v>
      </c>
      <c r="C27" s="15" t="s">
        <v>39</v>
      </c>
      <c r="D27" s="3" t="s">
        <v>31</v>
      </c>
      <c r="E27" s="12" t="s">
        <v>190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13" t="str">
        <f t="shared" si="0"/>
        <v/>
      </c>
      <c r="Q27" s="13" t="str">
        <f t="shared" si="1"/>
        <v/>
      </c>
      <c r="R27" s="13" t="str">
        <f t="shared" si="2"/>
        <v/>
      </c>
      <c r="S27" s="16" t="str">
        <f t="shared" si="3"/>
        <v/>
      </c>
      <c r="T27" s="13" t="str">
        <f t="shared" si="4"/>
        <v/>
      </c>
      <c r="U27" s="4"/>
      <c r="V27" s="4"/>
    </row>
    <row r="28" spans="1:22" x14ac:dyDescent="0.25">
      <c r="A28" s="14" t="s">
        <v>29</v>
      </c>
      <c r="B28" s="15" t="s">
        <v>82</v>
      </c>
      <c r="C28" s="15" t="s">
        <v>32</v>
      </c>
      <c r="D28" s="3" t="s">
        <v>38</v>
      </c>
      <c r="E28" s="10" t="s">
        <v>189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13" t="str">
        <f t="shared" si="0"/>
        <v/>
      </c>
      <c r="Q28" s="13" t="str">
        <f t="shared" si="1"/>
        <v/>
      </c>
      <c r="R28" s="13" t="str">
        <f t="shared" si="2"/>
        <v/>
      </c>
      <c r="S28" s="16" t="str">
        <f t="shared" si="3"/>
        <v/>
      </c>
      <c r="T28" s="13" t="str">
        <f t="shared" si="4"/>
        <v/>
      </c>
      <c r="U28" s="4"/>
      <c r="V28" s="4"/>
    </row>
    <row r="29" spans="1:22" x14ac:dyDescent="0.25">
      <c r="A29" s="14" t="s">
        <v>29</v>
      </c>
      <c r="B29" s="15" t="s">
        <v>82</v>
      </c>
      <c r="C29" s="15" t="s">
        <v>38</v>
      </c>
      <c r="D29" s="3" t="s">
        <v>32</v>
      </c>
      <c r="E29" s="12" t="s">
        <v>190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13" t="str">
        <f t="shared" si="0"/>
        <v/>
      </c>
      <c r="Q29" s="13" t="str">
        <f t="shared" si="1"/>
        <v/>
      </c>
      <c r="R29" s="13" t="str">
        <f t="shared" si="2"/>
        <v/>
      </c>
      <c r="S29" s="16" t="str">
        <f t="shared" si="3"/>
        <v/>
      </c>
      <c r="T29" s="13" t="str">
        <f t="shared" si="4"/>
        <v/>
      </c>
      <c r="U29" s="4"/>
      <c r="V29" s="4"/>
    </row>
    <row r="30" spans="1:22" x14ac:dyDescent="0.25">
      <c r="A30" s="14" t="s">
        <v>29</v>
      </c>
      <c r="B30" s="15" t="s">
        <v>83</v>
      </c>
      <c r="C30" s="15" t="s">
        <v>34</v>
      </c>
      <c r="D30" s="3" t="s">
        <v>36</v>
      </c>
      <c r="E30" s="10" t="s">
        <v>189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13" t="str">
        <f t="shared" si="0"/>
        <v/>
      </c>
      <c r="Q30" s="13" t="str">
        <f t="shared" si="1"/>
        <v/>
      </c>
      <c r="R30" s="13" t="str">
        <f t="shared" si="2"/>
        <v/>
      </c>
      <c r="S30" s="16" t="str">
        <f t="shared" si="3"/>
        <v/>
      </c>
      <c r="T30" s="13" t="str">
        <f t="shared" si="4"/>
        <v/>
      </c>
      <c r="U30" s="4"/>
      <c r="V30" s="4"/>
    </row>
    <row r="31" spans="1:22" x14ac:dyDescent="0.25">
      <c r="A31" s="14" t="s">
        <v>29</v>
      </c>
      <c r="B31" s="15" t="s">
        <v>83</v>
      </c>
      <c r="C31" s="15" t="s">
        <v>36</v>
      </c>
      <c r="D31" s="3" t="s">
        <v>34</v>
      </c>
      <c r="E31" s="12" t="s">
        <v>190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13" t="str">
        <f t="shared" si="0"/>
        <v/>
      </c>
      <c r="Q31" s="13" t="str">
        <f t="shared" si="1"/>
        <v/>
      </c>
      <c r="R31" s="13" t="str">
        <f t="shared" si="2"/>
        <v/>
      </c>
      <c r="S31" s="16" t="str">
        <f t="shared" si="3"/>
        <v/>
      </c>
      <c r="T31" s="13" t="str">
        <f t="shared" si="4"/>
        <v/>
      </c>
      <c r="U31" s="4"/>
      <c r="V31" s="4"/>
    </row>
    <row r="32" spans="1:22" x14ac:dyDescent="0.25">
      <c r="A32" s="14" t="s">
        <v>29</v>
      </c>
      <c r="B32" s="15" t="s">
        <v>84</v>
      </c>
      <c r="C32" s="15" t="s">
        <v>37</v>
      </c>
      <c r="D32" s="3" t="s">
        <v>30</v>
      </c>
      <c r="E32" s="10" t="s">
        <v>189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13" t="str">
        <f t="shared" si="0"/>
        <v/>
      </c>
      <c r="Q32" s="13" t="str">
        <f t="shared" si="1"/>
        <v/>
      </c>
      <c r="R32" s="13" t="str">
        <f t="shared" si="2"/>
        <v/>
      </c>
      <c r="S32" s="16" t="str">
        <f t="shared" si="3"/>
        <v/>
      </c>
      <c r="T32" s="13" t="str">
        <f t="shared" si="4"/>
        <v/>
      </c>
      <c r="U32" s="4"/>
      <c r="V32" s="4"/>
    </row>
    <row r="33" spans="1:22" x14ac:dyDescent="0.25">
      <c r="A33" s="14" t="s">
        <v>29</v>
      </c>
      <c r="B33" s="15" t="s">
        <v>84</v>
      </c>
      <c r="C33" s="15" t="s">
        <v>30</v>
      </c>
      <c r="D33" s="3" t="s">
        <v>37</v>
      </c>
      <c r="E33" s="12" t="s">
        <v>190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13" t="str">
        <f t="shared" si="0"/>
        <v/>
      </c>
      <c r="Q33" s="13" t="str">
        <f t="shared" si="1"/>
        <v/>
      </c>
      <c r="R33" s="13" t="str">
        <f t="shared" si="2"/>
        <v/>
      </c>
      <c r="S33" s="16" t="str">
        <f t="shared" si="3"/>
        <v/>
      </c>
      <c r="T33" s="13" t="str">
        <f t="shared" si="4"/>
        <v/>
      </c>
      <c r="U33" s="4"/>
      <c r="V33" s="4"/>
    </row>
    <row r="34" spans="1:22" x14ac:dyDescent="0.25">
      <c r="A34" s="14" t="s">
        <v>29</v>
      </c>
      <c r="B34" s="15" t="s">
        <v>85</v>
      </c>
      <c r="C34" s="15" t="s">
        <v>35</v>
      </c>
      <c r="D34" s="3" t="s">
        <v>39</v>
      </c>
      <c r="E34" s="10" t="s">
        <v>189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13" t="str">
        <f t="shared" ref="P34:P65" si="5">IF(COUNT($F34:$I34)=0,"",$F34*3+$G34*3+$H34+$I34*2)</f>
        <v/>
      </c>
      <c r="Q34" s="13" t="str">
        <f t="shared" ref="Q34:Q65" si="6">IF(COUNT($J34:$M34)=0,"",$J34*3+$K34+$L34+$M34*2)</f>
        <v/>
      </c>
      <c r="R34" s="13" t="str">
        <f t="shared" ref="R34:R65" si="7">IF(COUNT($N34:$O34)=0,"",$N34*5+$O34*10+IF($O34=2,10,0))</f>
        <v/>
      </c>
      <c r="S34" s="16" t="str">
        <f t="shared" ref="S34:S65" si="8">IF(COUNT($F34:$O34)=0,"",SUM($P34:$R34))</f>
        <v/>
      </c>
      <c r="T34" s="13" t="str">
        <f t="shared" ref="T34:T65" si="9">IF(COUNT($G34,$H34,$J34,$K34)=0,"",SUM($G34,$H34,$J34,$K34))</f>
        <v/>
      </c>
      <c r="U34" s="4"/>
      <c r="V34" s="4"/>
    </row>
    <row r="35" spans="1:22" x14ac:dyDescent="0.25">
      <c r="A35" s="14" t="s">
        <v>29</v>
      </c>
      <c r="B35" s="15" t="s">
        <v>85</v>
      </c>
      <c r="C35" s="15" t="s">
        <v>39</v>
      </c>
      <c r="D35" s="3" t="s">
        <v>35</v>
      </c>
      <c r="E35" s="12" t="s">
        <v>190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13" t="str">
        <f t="shared" si="5"/>
        <v/>
      </c>
      <c r="Q35" s="13" t="str">
        <f t="shared" si="6"/>
        <v/>
      </c>
      <c r="R35" s="13" t="str">
        <f t="shared" si="7"/>
        <v/>
      </c>
      <c r="S35" s="16" t="str">
        <f t="shared" si="8"/>
        <v/>
      </c>
      <c r="T35" s="13" t="str">
        <f t="shared" si="9"/>
        <v/>
      </c>
      <c r="U35" s="4"/>
      <c r="V35" s="4"/>
    </row>
    <row r="36" spans="1:22" x14ac:dyDescent="0.25">
      <c r="A36" s="14" t="s">
        <v>29</v>
      </c>
      <c r="B36" s="15" t="s">
        <v>86</v>
      </c>
      <c r="C36" s="15" t="s">
        <v>33</v>
      </c>
      <c r="D36" s="3" t="s">
        <v>38</v>
      </c>
      <c r="E36" s="10" t="s">
        <v>189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13" t="str">
        <f t="shared" si="5"/>
        <v/>
      </c>
      <c r="Q36" s="13" t="str">
        <f t="shared" si="6"/>
        <v/>
      </c>
      <c r="R36" s="13" t="str">
        <f t="shared" si="7"/>
        <v/>
      </c>
      <c r="S36" s="16" t="str">
        <f t="shared" si="8"/>
        <v/>
      </c>
      <c r="T36" s="13" t="str">
        <f t="shared" si="9"/>
        <v/>
      </c>
      <c r="U36" s="4"/>
      <c r="V36" s="4"/>
    </row>
    <row r="37" spans="1:22" x14ac:dyDescent="0.25">
      <c r="A37" s="14" t="s">
        <v>29</v>
      </c>
      <c r="B37" s="15" t="s">
        <v>86</v>
      </c>
      <c r="C37" s="15" t="s">
        <v>38</v>
      </c>
      <c r="D37" s="3" t="s">
        <v>33</v>
      </c>
      <c r="E37" s="12" t="s">
        <v>190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13" t="str">
        <f t="shared" si="5"/>
        <v/>
      </c>
      <c r="Q37" s="13" t="str">
        <f t="shared" si="6"/>
        <v/>
      </c>
      <c r="R37" s="13" t="str">
        <f t="shared" si="7"/>
        <v/>
      </c>
      <c r="S37" s="16" t="str">
        <f t="shared" si="8"/>
        <v/>
      </c>
      <c r="T37" s="13" t="str">
        <f t="shared" si="9"/>
        <v/>
      </c>
      <c r="U37" s="4"/>
      <c r="V37" s="4"/>
    </row>
    <row r="38" spans="1:22" x14ac:dyDescent="0.25">
      <c r="A38" s="14" t="s">
        <v>29</v>
      </c>
      <c r="B38" s="15" t="s">
        <v>87</v>
      </c>
      <c r="C38" s="15" t="s">
        <v>31</v>
      </c>
      <c r="D38" s="3" t="s">
        <v>36</v>
      </c>
      <c r="E38" s="10" t="s">
        <v>189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13" t="str">
        <f t="shared" si="5"/>
        <v/>
      </c>
      <c r="Q38" s="13" t="str">
        <f t="shared" si="6"/>
        <v/>
      </c>
      <c r="R38" s="13" t="str">
        <f t="shared" si="7"/>
        <v/>
      </c>
      <c r="S38" s="16" t="str">
        <f t="shared" si="8"/>
        <v/>
      </c>
      <c r="T38" s="13" t="str">
        <f t="shared" si="9"/>
        <v/>
      </c>
      <c r="U38" s="4"/>
      <c r="V38" s="4"/>
    </row>
    <row r="39" spans="1:22" x14ac:dyDescent="0.25">
      <c r="A39" s="14" t="s">
        <v>29</v>
      </c>
      <c r="B39" s="15" t="s">
        <v>87</v>
      </c>
      <c r="C39" s="15" t="s">
        <v>36</v>
      </c>
      <c r="D39" s="3" t="s">
        <v>31</v>
      </c>
      <c r="E39" s="12" t="s">
        <v>190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13" t="str">
        <f t="shared" si="5"/>
        <v/>
      </c>
      <c r="Q39" s="13" t="str">
        <f t="shared" si="6"/>
        <v/>
      </c>
      <c r="R39" s="13" t="str">
        <f t="shared" si="7"/>
        <v/>
      </c>
      <c r="S39" s="16" t="str">
        <f t="shared" si="8"/>
        <v/>
      </c>
      <c r="T39" s="13" t="str">
        <f t="shared" si="9"/>
        <v/>
      </c>
      <c r="U39" s="4"/>
      <c r="V39" s="4"/>
    </row>
    <row r="40" spans="1:22" x14ac:dyDescent="0.25">
      <c r="A40" s="14" t="s">
        <v>29</v>
      </c>
      <c r="B40" s="15" t="s">
        <v>88</v>
      </c>
      <c r="C40" s="15" t="s">
        <v>32</v>
      </c>
      <c r="D40" s="3" t="s">
        <v>34</v>
      </c>
      <c r="E40" s="10" t="s">
        <v>189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13" t="str">
        <f t="shared" si="5"/>
        <v/>
      </c>
      <c r="Q40" s="13" t="str">
        <f t="shared" si="6"/>
        <v/>
      </c>
      <c r="R40" s="13" t="str">
        <f t="shared" si="7"/>
        <v/>
      </c>
      <c r="S40" s="16" t="str">
        <f t="shared" si="8"/>
        <v/>
      </c>
      <c r="T40" s="13" t="str">
        <f t="shared" si="9"/>
        <v/>
      </c>
      <c r="U40" s="4"/>
      <c r="V40" s="4"/>
    </row>
    <row r="41" spans="1:22" x14ac:dyDescent="0.25">
      <c r="A41" s="14" t="s">
        <v>29</v>
      </c>
      <c r="B41" s="15" t="s">
        <v>88</v>
      </c>
      <c r="C41" s="15" t="s">
        <v>34</v>
      </c>
      <c r="D41" s="3" t="s">
        <v>32</v>
      </c>
      <c r="E41" s="12" t="s">
        <v>190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13" t="str">
        <f t="shared" si="5"/>
        <v/>
      </c>
      <c r="Q41" s="13" t="str">
        <f t="shared" si="6"/>
        <v/>
      </c>
      <c r="R41" s="13" t="str">
        <f t="shared" si="7"/>
        <v/>
      </c>
      <c r="S41" s="16" t="str">
        <f t="shared" si="8"/>
        <v/>
      </c>
      <c r="T41" s="13" t="str">
        <f t="shared" si="9"/>
        <v/>
      </c>
      <c r="U41" s="4"/>
      <c r="V41" s="4"/>
    </row>
    <row r="42" spans="1:22" x14ac:dyDescent="0.25">
      <c r="A42" s="14" t="s">
        <v>29</v>
      </c>
      <c r="B42" s="15" t="s">
        <v>89</v>
      </c>
      <c r="C42" s="15" t="s">
        <v>30</v>
      </c>
      <c r="D42" s="3" t="s">
        <v>39</v>
      </c>
      <c r="E42" s="10" t="s">
        <v>189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13" t="str">
        <f t="shared" si="5"/>
        <v/>
      </c>
      <c r="Q42" s="13" t="str">
        <f t="shared" si="6"/>
        <v/>
      </c>
      <c r="R42" s="13" t="str">
        <f t="shared" si="7"/>
        <v/>
      </c>
      <c r="S42" s="16" t="str">
        <f t="shared" si="8"/>
        <v/>
      </c>
      <c r="T42" s="13" t="str">
        <f t="shared" si="9"/>
        <v/>
      </c>
      <c r="U42" s="4"/>
      <c r="V42" s="4"/>
    </row>
    <row r="43" spans="1:22" x14ac:dyDescent="0.25">
      <c r="A43" s="14" t="s">
        <v>29</v>
      </c>
      <c r="B43" s="15" t="s">
        <v>89</v>
      </c>
      <c r="C43" s="15" t="s">
        <v>39</v>
      </c>
      <c r="D43" s="3" t="s">
        <v>30</v>
      </c>
      <c r="E43" s="12" t="s">
        <v>190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13" t="str">
        <f t="shared" si="5"/>
        <v/>
      </c>
      <c r="Q43" s="13" t="str">
        <f t="shared" si="6"/>
        <v/>
      </c>
      <c r="R43" s="13" t="str">
        <f t="shared" si="7"/>
        <v/>
      </c>
      <c r="S43" s="16" t="str">
        <f t="shared" si="8"/>
        <v/>
      </c>
      <c r="T43" s="13" t="str">
        <f t="shared" si="9"/>
        <v/>
      </c>
      <c r="U43" s="4"/>
      <c r="V43" s="4"/>
    </row>
    <row r="44" spans="1:22" x14ac:dyDescent="0.25">
      <c r="A44" s="14" t="s">
        <v>29</v>
      </c>
      <c r="B44" s="15" t="s">
        <v>90</v>
      </c>
      <c r="C44" s="15" t="s">
        <v>37</v>
      </c>
      <c r="D44" s="3" t="s">
        <v>38</v>
      </c>
      <c r="E44" s="10" t="s">
        <v>189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13" t="str">
        <f t="shared" si="5"/>
        <v/>
      </c>
      <c r="Q44" s="13" t="str">
        <f t="shared" si="6"/>
        <v/>
      </c>
      <c r="R44" s="13" t="str">
        <f t="shared" si="7"/>
        <v/>
      </c>
      <c r="S44" s="16" t="str">
        <f t="shared" si="8"/>
        <v/>
      </c>
      <c r="T44" s="13" t="str">
        <f t="shared" si="9"/>
        <v/>
      </c>
      <c r="U44" s="4"/>
      <c r="V44" s="4"/>
    </row>
    <row r="45" spans="1:22" x14ac:dyDescent="0.25">
      <c r="A45" s="14" t="s">
        <v>29</v>
      </c>
      <c r="B45" s="15" t="s">
        <v>90</v>
      </c>
      <c r="C45" s="15" t="s">
        <v>38</v>
      </c>
      <c r="D45" s="3" t="s">
        <v>37</v>
      </c>
      <c r="E45" s="12" t="s">
        <v>190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13" t="str">
        <f t="shared" si="5"/>
        <v/>
      </c>
      <c r="Q45" s="13" t="str">
        <f t="shared" si="6"/>
        <v/>
      </c>
      <c r="R45" s="13" t="str">
        <f t="shared" si="7"/>
        <v/>
      </c>
      <c r="S45" s="16" t="str">
        <f t="shared" si="8"/>
        <v/>
      </c>
      <c r="T45" s="13" t="str">
        <f t="shared" si="9"/>
        <v/>
      </c>
      <c r="U45" s="4"/>
      <c r="V45" s="4"/>
    </row>
    <row r="46" spans="1:22" x14ac:dyDescent="0.25">
      <c r="A46" s="14" t="s">
        <v>29</v>
      </c>
      <c r="B46" s="15" t="s">
        <v>91</v>
      </c>
      <c r="C46" s="15" t="s">
        <v>35</v>
      </c>
      <c r="D46" s="3" t="s">
        <v>36</v>
      </c>
      <c r="E46" s="10" t="s">
        <v>189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13" t="str">
        <f t="shared" si="5"/>
        <v/>
      </c>
      <c r="Q46" s="13" t="str">
        <f t="shared" si="6"/>
        <v/>
      </c>
      <c r="R46" s="13" t="str">
        <f t="shared" si="7"/>
        <v/>
      </c>
      <c r="S46" s="16" t="str">
        <f t="shared" si="8"/>
        <v/>
      </c>
      <c r="T46" s="13" t="str">
        <f t="shared" si="9"/>
        <v/>
      </c>
      <c r="U46" s="4"/>
      <c r="V46" s="4"/>
    </row>
    <row r="47" spans="1:22" x14ac:dyDescent="0.25">
      <c r="A47" s="14" t="s">
        <v>29</v>
      </c>
      <c r="B47" s="15" t="s">
        <v>91</v>
      </c>
      <c r="C47" s="15" t="s">
        <v>36</v>
      </c>
      <c r="D47" s="3" t="s">
        <v>35</v>
      </c>
      <c r="E47" s="12" t="s">
        <v>190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13" t="str">
        <f t="shared" si="5"/>
        <v/>
      </c>
      <c r="Q47" s="13" t="str">
        <f t="shared" si="6"/>
        <v/>
      </c>
      <c r="R47" s="13" t="str">
        <f t="shared" si="7"/>
        <v/>
      </c>
      <c r="S47" s="16" t="str">
        <f t="shared" si="8"/>
        <v/>
      </c>
      <c r="T47" s="13" t="str">
        <f t="shared" si="9"/>
        <v/>
      </c>
      <c r="U47" s="4"/>
      <c r="V47" s="4"/>
    </row>
    <row r="48" spans="1:22" x14ac:dyDescent="0.25">
      <c r="A48" s="14" t="s">
        <v>29</v>
      </c>
      <c r="B48" s="15" t="s">
        <v>92</v>
      </c>
      <c r="C48" s="15" t="s">
        <v>33</v>
      </c>
      <c r="D48" s="3" t="s">
        <v>34</v>
      </c>
      <c r="E48" s="10" t="s">
        <v>189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13" t="str">
        <f t="shared" si="5"/>
        <v/>
      </c>
      <c r="Q48" s="13" t="str">
        <f t="shared" si="6"/>
        <v/>
      </c>
      <c r="R48" s="13" t="str">
        <f t="shared" si="7"/>
        <v/>
      </c>
      <c r="S48" s="16" t="str">
        <f t="shared" si="8"/>
        <v/>
      </c>
      <c r="T48" s="13" t="str">
        <f t="shared" si="9"/>
        <v/>
      </c>
      <c r="U48" s="4"/>
      <c r="V48" s="4"/>
    </row>
    <row r="49" spans="1:22" x14ac:dyDescent="0.25">
      <c r="A49" s="14" t="s">
        <v>29</v>
      </c>
      <c r="B49" s="15" t="s">
        <v>92</v>
      </c>
      <c r="C49" s="15" t="s">
        <v>34</v>
      </c>
      <c r="D49" s="3" t="s">
        <v>33</v>
      </c>
      <c r="E49" s="12" t="s">
        <v>190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13" t="str">
        <f t="shared" si="5"/>
        <v/>
      </c>
      <c r="Q49" s="13" t="str">
        <f t="shared" si="6"/>
        <v/>
      </c>
      <c r="R49" s="13" t="str">
        <f t="shared" si="7"/>
        <v/>
      </c>
      <c r="S49" s="16" t="str">
        <f t="shared" si="8"/>
        <v/>
      </c>
      <c r="T49" s="13" t="str">
        <f t="shared" si="9"/>
        <v/>
      </c>
      <c r="U49" s="4"/>
      <c r="V49" s="4"/>
    </row>
    <row r="50" spans="1:22" x14ac:dyDescent="0.25">
      <c r="A50" s="14" t="s">
        <v>29</v>
      </c>
      <c r="B50" s="15" t="s">
        <v>93</v>
      </c>
      <c r="C50" s="15" t="s">
        <v>31</v>
      </c>
      <c r="D50" s="3" t="s">
        <v>32</v>
      </c>
      <c r="E50" s="10" t="s">
        <v>189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13" t="str">
        <f t="shared" si="5"/>
        <v/>
      </c>
      <c r="Q50" s="13" t="str">
        <f t="shared" si="6"/>
        <v/>
      </c>
      <c r="R50" s="13" t="str">
        <f t="shared" si="7"/>
        <v/>
      </c>
      <c r="S50" s="16" t="str">
        <f t="shared" si="8"/>
        <v/>
      </c>
      <c r="T50" s="13" t="str">
        <f t="shared" si="9"/>
        <v/>
      </c>
      <c r="U50" s="4"/>
      <c r="V50" s="4"/>
    </row>
    <row r="51" spans="1:22" x14ac:dyDescent="0.25">
      <c r="A51" s="14" t="s">
        <v>29</v>
      </c>
      <c r="B51" s="15" t="s">
        <v>93</v>
      </c>
      <c r="C51" s="15" t="s">
        <v>32</v>
      </c>
      <c r="D51" s="3" t="s">
        <v>31</v>
      </c>
      <c r="E51" s="12" t="s">
        <v>190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13" t="str">
        <f t="shared" si="5"/>
        <v/>
      </c>
      <c r="Q51" s="13" t="str">
        <f t="shared" si="6"/>
        <v/>
      </c>
      <c r="R51" s="13" t="str">
        <f t="shared" si="7"/>
        <v/>
      </c>
      <c r="S51" s="16" t="str">
        <f t="shared" si="8"/>
        <v/>
      </c>
      <c r="T51" s="13" t="str">
        <f t="shared" si="9"/>
        <v/>
      </c>
      <c r="U51" s="4"/>
      <c r="V51" s="4"/>
    </row>
    <row r="52" spans="1:22" x14ac:dyDescent="0.25">
      <c r="A52" s="14" t="s">
        <v>29</v>
      </c>
      <c r="B52" s="15" t="s">
        <v>94</v>
      </c>
      <c r="C52" s="15" t="s">
        <v>38</v>
      </c>
      <c r="D52" s="3" t="s">
        <v>30</v>
      </c>
      <c r="E52" s="10" t="s">
        <v>189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13" t="str">
        <f t="shared" si="5"/>
        <v/>
      </c>
      <c r="Q52" s="13" t="str">
        <f t="shared" si="6"/>
        <v/>
      </c>
      <c r="R52" s="13" t="str">
        <f t="shared" si="7"/>
        <v/>
      </c>
      <c r="S52" s="16" t="str">
        <f t="shared" si="8"/>
        <v/>
      </c>
      <c r="T52" s="13" t="str">
        <f t="shared" si="9"/>
        <v/>
      </c>
      <c r="U52" s="4"/>
      <c r="V52" s="4"/>
    </row>
    <row r="53" spans="1:22" x14ac:dyDescent="0.25">
      <c r="A53" s="14" t="s">
        <v>29</v>
      </c>
      <c r="B53" s="15" t="s">
        <v>94</v>
      </c>
      <c r="C53" s="15" t="s">
        <v>30</v>
      </c>
      <c r="D53" s="3" t="s">
        <v>38</v>
      </c>
      <c r="E53" s="12" t="s">
        <v>190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13" t="str">
        <f t="shared" si="5"/>
        <v/>
      </c>
      <c r="Q53" s="13" t="str">
        <f t="shared" si="6"/>
        <v/>
      </c>
      <c r="R53" s="13" t="str">
        <f t="shared" si="7"/>
        <v/>
      </c>
      <c r="S53" s="16" t="str">
        <f t="shared" si="8"/>
        <v/>
      </c>
      <c r="T53" s="13" t="str">
        <f t="shared" si="9"/>
        <v/>
      </c>
      <c r="U53" s="4"/>
      <c r="V53" s="4"/>
    </row>
    <row r="54" spans="1:22" x14ac:dyDescent="0.25">
      <c r="A54" s="14" t="s">
        <v>29</v>
      </c>
      <c r="B54" s="15" t="s">
        <v>95</v>
      </c>
      <c r="C54" s="15" t="s">
        <v>39</v>
      </c>
      <c r="D54" s="3" t="s">
        <v>36</v>
      </c>
      <c r="E54" s="10" t="s">
        <v>189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13" t="str">
        <f t="shared" si="5"/>
        <v/>
      </c>
      <c r="Q54" s="13" t="str">
        <f t="shared" si="6"/>
        <v/>
      </c>
      <c r="R54" s="13" t="str">
        <f t="shared" si="7"/>
        <v/>
      </c>
      <c r="S54" s="16" t="str">
        <f t="shared" si="8"/>
        <v/>
      </c>
      <c r="T54" s="13" t="str">
        <f t="shared" si="9"/>
        <v/>
      </c>
      <c r="U54" s="4"/>
      <c r="V54" s="4"/>
    </row>
    <row r="55" spans="1:22" x14ac:dyDescent="0.25">
      <c r="A55" s="14" t="s">
        <v>29</v>
      </c>
      <c r="B55" s="15" t="s">
        <v>95</v>
      </c>
      <c r="C55" s="15" t="s">
        <v>36</v>
      </c>
      <c r="D55" s="3" t="s">
        <v>39</v>
      </c>
      <c r="E55" s="12" t="s">
        <v>190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13" t="str">
        <f t="shared" si="5"/>
        <v/>
      </c>
      <c r="Q55" s="13" t="str">
        <f t="shared" si="6"/>
        <v/>
      </c>
      <c r="R55" s="13" t="str">
        <f t="shared" si="7"/>
        <v/>
      </c>
      <c r="S55" s="16" t="str">
        <f t="shared" si="8"/>
        <v/>
      </c>
      <c r="T55" s="13" t="str">
        <f t="shared" si="9"/>
        <v/>
      </c>
      <c r="U55" s="4"/>
      <c r="V55" s="4"/>
    </row>
    <row r="56" spans="1:22" x14ac:dyDescent="0.25">
      <c r="A56" s="14" t="s">
        <v>29</v>
      </c>
      <c r="B56" s="15" t="s">
        <v>96</v>
      </c>
      <c r="C56" s="15" t="s">
        <v>37</v>
      </c>
      <c r="D56" s="3" t="s">
        <v>34</v>
      </c>
      <c r="E56" s="10" t="s">
        <v>189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13" t="str">
        <f t="shared" si="5"/>
        <v/>
      </c>
      <c r="Q56" s="13" t="str">
        <f t="shared" si="6"/>
        <v/>
      </c>
      <c r="R56" s="13" t="str">
        <f t="shared" si="7"/>
        <v/>
      </c>
      <c r="S56" s="16" t="str">
        <f t="shared" si="8"/>
        <v/>
      </c>
      <c r="T56" s="13" t="str">
        <f t="shared" si="9"/>
        <v/>
      </c>
      <c r="U56" s="4"/>
      <c r="V56" s="4"/>
    </row>
    <row r="57" spans="1:22" x14ac:dyDescent="0.25">
      <c r="A57" s="14" t="s">
        <v>29</v>
      </c>
      <c r="B57" s="15" t="s">
        <v>96</v>
      </c>
      <c r="C57" s="15" t="s">
        <v>34</v>
      </c>
      <c r="D57" s="3" t="s">
        <v>37</v>
      </c>
      <c r="E57" s="12" t="s">
        <v>190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13" t="str">
        <f t="shared" si="5"/>
        <v/>
      </c>
      <c r="Q57" s="13" t="str">
        <f t="shared" si="6"/>
        <v/>
      </c>
      <c r="R57" s="13" t="str">
        <f t="shared" si="7"/>
        <v/>
      </c>
      <c r="S57" s="16" t="str">
        <f t="shared" si="8"/>
        <v/>
      </c>
      <c r="T57" s="13" t="str">
        <f t="shared" si="9"/>
        <v/>
      </c>
      <c r="U57" s="4"/>
      <c r="V57" s="4"/>
    </row>
    <row r="58" spans="1:22" x14ac:dyDescent="0.25">
      <c r="A58" s="14" t="s">
        <v>29</v>
      </c>
      <c r="B58" s="15" t="s">
        <v>97</v>
      </c>
      <c r="C58" s="15" t="s">
        <v>35</v>
      </c>
      <c r="D58" s="3" t="s">
        <v>32</v>
      </c>
      <c r="E58" s="10" t="s">
        <v>189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13" t="str">
        <f t="shared" si="5"/>
        <v/>
      </c>
      <c r="Q58" s="13" t="str">
        <f t="shared" si="6"/>
        <v/>
      </c>
      <c r="R58" s="13" t="str">
        <f t="shared" si="7"/>
        <v/>
      </c>
      <c r="S58" s="16" t="str">
        <f t="shared" si="8"/>
        <v/>
      </c>
      <c r="T58" s="13" t="str">
        <f t="shared" si="9"/>
        <v/>
      </c>
      <c r="U58" s="4"/>
      <c r="V58" s="4"/>
    </row>
    <row r="59" spans="1:22" x14ac:dyDescent="0.25">
      <c r="A59" s="14" t="s">
        <v>29</v>
      </c>
      <c r="B59" s="15" t="s">
        <v>97</v>
      </c>
      <c r="C59" s="15" t="s">
        <v>32</v>
      </c>
      <c r="D59" s="3" t="s">
        <v>35</v>
      </c>
      <c r="E59" s="12" t="s">
        <v>190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13" t="str">
        <f t="shared" si="5"/>
        <v/>
      </c>
      <c r="Q59" s="13" t="str">
        <f t="shared" si="6"/>
        <v/>
      </c>
      <c r="R59" s="13" t="str">
        <f t="shared" si="7"/>
        <v/>
      </c>
      <c r="S59" s="16" t="str">
        <f t="shared" si="8"/>
        <v/>
      </c>
      <c r="T59" s="13" t="str">
        <f t="shared" si="9"/>
        <v/>
      </c>
      <c r="U59" s="4"/>
      <c r="V59" s="4"/>
    </row>
    <row r="60" spans="1:22" x14ac:dyDescent="0.25">
      <c r="A60" s="14" t="s">
        <v>29</v>
      </c>
      <c r="B60" s="15" t="s">
        <v>98</v>
      </c>
      <c r="C60" s="15" t="s">
        <v>33</v>
      </c>
      <c r="D60" s="3" t="s">
        <v>31</v>
      </c>
      <c r="E60" s="10" t="s">
        <v>189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13" t="str">
        <f t="shared" si="5"/>
        <v/>
      </c>
      <c r="Q60" s="13" t="str">
        <f t="shared" si="6"/>
        <v/>
      </c>
      <c r="R60" s="13" t="str">
        <f t="shared" si="7"/>
        <v/>
      </c>
      <c r="S60" s="16" t="str">
        <f t="shared" si="8"/>
        <v/>
      </c>
      <c r="T60" s="13" t="str">
        <f t="shared" si="9"/>
        <v/>
      </c>
      <c r="U60" s="4"/>
      <c r="V60" s="4"/>
    </row>
    <row r="61" spans="1:22" x14ac:dyDescent="0.25">
      <c r="A61" s="14" t="s">
        <v>29</v>
      </c>
      <c r="B61" s="15" t="s">
        <v>98</v>
      </c>
      <c r="C61" s="15" t="s">
        <v>31</v>
      </c>
      <c r="D61" s="3" t="s">
        <v>33</v>
      </c>
      <c r="E61" s="12" t="s">
        <v>190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13" t="str">
        <f t="shared" si="5"/>
        <v/>
      </c>
      <c r="Q61" s="13" t="str">
        <f t="shared" si="6"/>
        <v/>
      </c>
      <c r="R61" s="13" t="str">
        <f t="shared" si="7"/>
        <v/>
      </c>
      <c r="S61" s="16" t="str">
        <f t="shared" si="8"/>
        <v/>
      </c>
      <c r="T61" s="13" t="str">
        <f t="shared" si="9"/>
        <v/>
      </c>
      <c r="U61" s="4"/>
      <c r="V61" s="4"/>
    </row>
    <row r="62" spans="1:22" x14ac:dyDescent="0.25">
      <c r="A62" s="14" t="s">
        <v>29</v>
      </c>
      <c r="B62" s="15" t="s">
        <v>99</v>
      </c>
      <c r="C62" s="15" t="s">
        <v>30</v>
      </c>
      <c r="D62" s="3" t="s">
        <v>36</v>
      </c>
      <c r="E62" s="10" t="s">
        <v>189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13" t="str">
        <f t="shared" si="5"/>
        <v/>
      </c>
      <c r="Q62" s="13" t="str">
        <f t="shared" si="6"/>
        <v/>
      </c>
      <c r="R62" s="13" t="str">
        <f t="shared" si="7"/>
        <v/>
      </c>
      <c r="S62" s="16" t="str">
        <f t="shared" si="8"/>
        <v/>
      </c>
      <c r="T62" s="13" t="str">
        <f t="shared" si="9"/>
        <v/>
      </c>
      <c r="U62" s="4"/>
      <c r="V62" s="4"/>
    </row>
    <row r="63" spans="1:22" x14ac:dyDescent="0.25">
      <c r="A63" s="14" t="s">
        <v>29</v>
      </c>
      <c r="B63" s="15" t="s">
        <v>99</v>
      </c>
      <c r="C63" s="15" t="s">
        <v>36</v>
      </c>
      <c r="D63" s="3" t="s">
        <v>30</v>
      </c>
      <c r="E63" s="12" t="s">
        <v>190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13" t="str">
        <f t="shared" si="5"/>
        <v/>
      </c>
      <c r="Q63" s="13" t="str">
        <f t="shared" si="6"/>
        <v/>
      </c>
      <c r="R63" s="13" t="str">
        <f t="shared" si="7"/>
        <v/>
      </c>
      <c r="S63" s="16" t="str">
        <f t="shared" si="8"/>
        <v/>
      </c>
      <c r="T63" s="13" t="str">
        <f t="shared" si="9"/>
        <v/>
      </c>
      <c r="U63" s="4"/>
      <c r="V63" s="4"/>
    </row>
    <row r="64" spans="1:22" x14ac:dyDescent="0.25">
      <c r="A64" s="14" t="s">
        <v>29</v>
      </c>
      <c r="B64" s="15" t="s">
        <v>100</v>
      </c>
      <c r="C64" s="15" t="s">
        <v>38</v>
      </c>
      <c r="D64" s="3" t="s">
        <v>34</v>
      </c>
      <c r="E64" s="10" t="s">
        <v>189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13" t="str">
        <f t="shared" si="5"/>
        <v/>
      </c>
      <c r="Q64" s="13" t="str">
        <f t="shared" si="6"/>
        <v/>
      </c>
      <c r="R64" s="13" t="str">
        <f t="shared" si="7"/>
        <v/>
      </c>
      <c r="S64" s="16" t="str">
        <f t="shared" si="8"/>
        <v/>
      </c>
      <c r="T64" s="13" t="str">
        <f t="shared" si="9"/>
        <v/>
      </c>
      <c r="U64" s="4"/>
      <c r="V64" s="4"/>
    </row>
    <row r="65" spans="1:22" x14ac:dyDescent="0.25">
      <c r="A65" s="14" t="s">
        <v>29</v>
      </c>
      <c r="B65" s="15" t="s">
        <v>100</v>
      </c>
      <c r="C65" s="15" t="s">
        <v>34</v>
      </c>
      <c r="D65" s="3" t="s">
        <v>38</v>
      </c>
      <c r="E65" s="12" t="s">
        <v>190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13" t="str">
        <f t="shared" si="5"/>
        <v/>
      </c>
      <c r="Q65" s="13" t="str">
        <f t="shared" si="6"/>
        <v/>
      </c>
      <c r="R65" s="13" t="str">
        <f t="shared" si="7"/>
        <v/>
      </c>
      <c r="S65" s="16" t="str">
        <f t="shared" si="8"/>
        <v/>
      </c>
      <c r="T65" s="13" t="str">
        <f t="shared" si="9"/>
        <v/>
      </c>
      <c r="U65" s="4"/>
      <c r="V65" s="4"/>
    </row>
    <row r="66" spans="1:22" x14ac:dyDescent="0.25">
      <c r="A66" s="14" t="s">
        <v>29</v>
      </c>
      <c r="B66" s="15" t="s">
        <v>101</v>
      </c>
      <c r="C66" s="15" t="s">
        <v>39</v>
      </c>
      <c r="D66" s="3" t="s">
        <v>32</v>
      </c>
      <c r="E66" s="10" t="s">
        <v>189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13" t="str">
        <f t="shared" ref="P66:P97" si="10">IF(COUNT($F66:$I66)=0,"",$F66*3+$G66*3+$H66+$I66*2)</f>
        <v/>
      </c>
      <c r="Q66" s="13" t="str">
        <f t="shared" ref="Q66:Q97" si="11">IF(COUNT($J66:$M66)=0,"",$J66*3+$K66+$L66+$M66*2)</f>
        <v/>
      </c>
      <c r="R66" s="13" t="str">
        <f t="shared" ref="R66:R97" si="12">IF(COUNT($N66:$O66)=0,"",$N66*5+$O66*10+IF($O66=2,10,0))</f>
        <v/>
      </c>
      <c r="S66" s="16" t="str">
        <f t="shared" ref="S66:S97" si="13">IF(COUNT($F66:$O66)=0,"",SUM($P66:$R66))</f>
        <v/>
      </c>
      <c r="T66" s="13" t="str">
        <f t="shared" ref="T66:T97" si="14">IF(COUNT($G66,$H66,$J66,$K66)=0,"",SUM($G66,$H66,$J66,$K66))</f>
        <v/>
      </c>
      <c r="U66" s="4"/>
      <c r="V66" s="4"/>
    </row>
    <row r="67" spans="1:22" x14ac:dyDescent="0.25">
      <c r="A67" s="14" t="s">
        <v>29</v>
      </c>
      <c r="B67" s="15" t="s">
        <v>101</v>
      </c>
      <c r="C67" s="15" t="s">
        <v>32</v>
      </c>
      <c r="D67" s="3" t="s">
        <v>39</v>
      </c>
      <c r="E67" s="12" t="s">
        <v>190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13" t="str">
        <f t="shared" si="10"/>
        <v/>
      </c>
      <c r="Q67" s="13" t="str">
        <f t="shared" si="11"/>
        <v/>
      </c>
      <c r="R67" s="13" t="str">
        <f t="shared" si="12"/>
        <v/>
      </c>
      <c r="S67" s="16" t="str">
        <f t="shared" si="13"/>
        <v/>
      </c>
      <c r="T67" s="13" t="str">
        <f t="shared" si="14"/>
        <v/>
      </c>
      <c r="U67" s="4"/>
      <c r="V67" s="4"/>
    </row>
    <row r="68" spans="1:22" x14ac:dyDescent="0.25">
      <c r="A68" s="14" t="s">
        <v>29</v>
      </c>
      <c r="B68" s="15" t="s">
        <v>102</v>
      </c>
      <c r="C68" s="15" t="s">
        <v>37</v>
      </c>
      <c r="D68" s="3" t="s">
        <v>31</v>
      </c>
      <c r="E68" s="10" t="s">
        <v>189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13" t="str">
        <f t="shared" si="10"/>
        <v/>
      </c>
      <c r="Q68" s="13" t="str">
        <f t="shared" si="11"/>
        <v/>
      </c>
      <c r="R68" s="13" t="str">
        <f t="shared" si="12"/>
        <v/>
      </c>
      <c r="S68" s="16" t="str">
        <f t="shared" si="13"/>
        <v/>
      </c>
      <c r="T68" s="13" t="str">
        <f t="shared" si="14"/>
        <v/>
      </c>
      <c r="U68" s="4"/>
      <c r="V68" s="4"/>
    </row>
    <row r="69" spans="1:22" x14ac:dyDescent="0.25">
      <c r="A69" s="14" t="s">
        <v>29</v>
      </c>
      <c r="B69" s="15" t="s">
        <v>102</v>
      </c>
      <c r="C69" s="15" t="s">
        <v>31</v>
      </c>
      <c r="D69" s="3" t="s">
        <v>37</v>
      </c>
      <c r="E69" s="12" t="s">
        <v>190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13" t="str">
        <f t="shared" si="10"/>
        <v/>
      </c>
      <c r="Q69" s="13" t="str">
        <f t="shared" si="11"/>
        <v/>
      </c>
      <c r="R69" s="13" t="str">
        <f t="shared" si="12"/>
        <v/>
      </c>
      <c r="S69" s="16" t="str">
        <f t="shared" si="13"/>
        <v/>
      </c>
      <c r="T69" s="13" t="str">
        <f t="shared" si="14"/>
        <v/>
      </c>
      <c r="U69" s="4"/>
      <c r="V69" s="4"/>
    </row>
    <row r="70" spans="1:22" x14ac:dyDescent="0.25">
      <c r="A70" s="14" t="s">
        <v>29</v>
      </c>
      <c r="B70" s="15" t="s">
        <v>103</v>
      </c>
      <c r="C70" s="15" t="s">
        <v>35</v>
      </c>
      <c r="D70" s="3" t="s">
        <v>33</v>
      </c>
      <c r="E70" s="10" t="s">
        <v>189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13" t="str">
        <f t="shared" si="10"/>
        <v/>
      </c>
      <c r="Q70" s="13" t="str">
        <f t="shared" si="11"/>
        <v/>
      </c>
      <c r="R70" s="13" t="str">
        <f t="shared" si="12"/>
        <v/>
      </c>
      <c r="S70" s="16" t="str">
        <f t="shared" si="13"/>
        <v/>
      </c>
      <c r="T70" s="13" t="str">
        <f t="shared" si="14"/>
        <v/>
      </c>
      <c r="U70" s="4"/>
      <c r="V70" s="4"/>
    </row>
    <row r="71" spans="1:22" x14ac:dyDescent="0.25">
      <c r="A71" s="14" t="s">
        <v>29</v>
      </c>
      <c r="B71" s="15" t="s">
        <v>103</v>
      </c>
      <c r="C71" s="15" t="s">
        <v>33</v>
      </c>
      <c r="D71" s="3" t="s">
        <v>35</v>
      </c>
      <c r="E71" s="12" t="s">
        <v>190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13" t="str">
        <f t="shared" si="10"/>
        <v/>
      </c>
      <c r="Q71" s="13" t="str">
        <f t="shared" si="11"/>
        <v/>
      </c>
      <c r="R71" s="13" t="str">
        <f t="shared" si="12"/>
        <v/>
      </c>
      <c r="S71" s="16" t="str">
        <f t="shared" si="13"/>
        <v/>
      </c>
      <c r="T71" s="13" t="str">
        <f t="shared" si="14"/>
        <v/>
      </c>
      <c r="U71" s="4"/>
      <c r="V71" s="4"/>
    </row>
    <row r="72" spans="1:22" x14ac:dyDescent="0.25">
      <c r="A72" s="14" t="s">
        <v>29</v>
      </c>
      <c r="B72" s="15" t="s">
        <v>104</v>
      </c>
      <c r="C72" s="15" t="s">
        <v>34</v>
      </c>
      <c r="D72" s="3" t="s">
        <v>30</v>
      </c>
      <c r="E72" s="10" t="s">
        <v>189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13" t="str">
        <f t="shared" si="10"/>
        <v/>
      </c>
      <c r="Q72" s="13" t="str">
        <f t="shared" si="11"/>
        <v/>
      </c>
      <c r="R72" s="13" t="str">
        <f t="shared" si="12"/>
        <v/>
      </c>
      <c r="S72" s="16" t="str">
        <f t="shared" si="13"/>
        <v/>
      </c>
      <c r="T72" s="13" t="str">
        <f t="shared" si="14"/>
        <v/>
      </c>
      <c r="U72" s="4"/>
      <c r="V72" s="4"/>
    </row>
    <row r="73" spans="1:22" x14ac:dyDescent="0.25">
      <c r="A73" s="14" t="s">
        <v>29</v>
      </c>
      <c r="B73" s="15" t="s">
        <v>104</v>
      </c>
      <c r="C73" s="15" t="s">
        <v>30</v>
      </c>
      <c r="D73" s="3" t="s">
        <v>34</v>
      </c>
      <c r="E73" s="12" t="s">
        <v>190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13" t="str">
        <f t="shared" si="10"/>
        <v/>
      </c>
      <c r="Q73" s="13" t="str">
        <f t="shared" si="11"/>
        <v/>
      </c>
      <c r="R73" s="13" t="str">
        <f t="shared" si="12"/>
        <v/>
      </c>
      <c r="S73" s="16" t="str">
        <f t="shared" si="13"/>
        <v/>
      </c>
      <c r="T73" s="13" t="str">
        <f t="shared" si="14"/>
        <v/>
      </c>
      <c r="U73" s="4"/>
      <c r="V73" s="4"/>
    </row>
    <row r="74" spans="1:22" x14ac:dyDescent="0.25">
      <c r="A74" s="14" t="s">
        <v>29</v>
      </c>
      <c r="B74" s="15" t="s">
        <v>105</v>
      </c>
      <c r="C74" s="15" t="s">
        <v>36</v>
      </c>
      <c r="D74" s="3" t="s">
        <v>32</v>
      </c>
      <c r="E74" s="10" t="s">
        <v>189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13" t="str">
        <f t="shared" si="10"/>
        <v/>
      </c>
      <c r="Q74" s="13" t="str">
        <f t="shared" si="11"/>
        <v/>
      </c>
      <c r="R74" s="13" t="str">
        <f t="shared" si="12"/>
        <v/>
      </c>
      <c r="S74" s="16" t="str">
        <f t="shared" si="13"/>
        <v/>
      </c>
      <c r="T74" s="13" t="str">
        <f t="shared" si="14"/>
        <v/>
      </c>
      <c r="U74" s="4"/>
      <c r="V74" s="4"/>
    </row>
    <row r="75" spans="1:22" x14ac:dyDescent="0.25">
      <c r="A75" s="14" t="s">
        <v>29</v>
      </c>
      <c r="B75" s="15" t="s">
        <v>105</v>
      </c>
      <c r="C75" s="15" t="s">
        <v>32</v>
      </c>
      <c r="D75" s="3" t="s">
        <v>36</v>
      </c>
      <c r="E75" s="12" t="s">
        <v>190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13" t="str">
        <f t="shared" si="10"/>
        <v/>
      </c>
      <c r="Q75" s="13" t="str">
        <f t="shared" si="11"/>
        <v/>
      </c>
      <c r="R75" s="13" t="str">
        <f t="shared" si="12"/>
        <v/>
      </c>
      <c r="S75" s="16" t="str">
        <f t="shared" si="13"/>
        <v/>
      </c>
      <c r="T75" s="13" t="str">
        <f t="shared" si="14"/>
        <v/>
      </c>
      <c r="U75" s="4"/>
      <c r="V75" s="4"/>
    </row>
    <row r="76" spans="1:22" x14ac:dyDescent="0.25">
      <c r="A76" s="14" t="s">
        <v>29</v>
      </c>
      <c r="B76" s="15" t="s">
        <v>106</v>
      </c>
      <c r="C76" s="15" t="s">
        <v>38</v>
      </c>
      <c r="D76" s="3" t="s">
        <v>31</v>
      </c>
      <c r="E76" s="10" t="s">
        <v>189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13" t="str">
        <f t="shared" si="10"/>
        <v/>
      </c>
      <c r="Q76" s="13" t="str">
        <f t="shared" si="11"/>
        <v/>
      </c>
      <c r="R76" s="13" t="str">
        <f t="shared" si="12"/>
        <v/>
      </c>
      <c r="S76" s="16" t="str">
        <f t="shared" si="13"/>
        <v/>
      </c>
      <c r="T76" s="13" t="str">
        <f t="shared" si="14"/>
        <v/>
      </c>
      <c r="U76" s="4"/>
      <c r="V76" s="4"/>
    </row>
    <row r="77" spans="1:22" x14ac:dyDescent="0.25">
      <c r="A77" s="14" t="s">
        <v>29</v>
      </c>
      <c r="B77" s="15" t="s">
        <v>106</v>
      </c>
      <c r="C77" s="15" t="s">
        <v>31</v>
      </c>
      <c r="D77" s="3" t="s">
        <v>38</v>
      </c>
      <c r="E77" s="12" t="s">
        <v>190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13" t="str">
        <f t="shared" si="10"/>
        <v/>
      </c>
      <c r="Q77" s="13" t="str">
        <f t="shared" si="11"/>
        <v/>
      </c>
      <c r="R77" s="13" t="str">
        <f t="shared" si="12"/>
        <v/>
      </c>
      <c r="S77" s="16" t="str">
        <f t="shared" si="13"/>
        <v/>
      </c>
      <c r="T77" s="13" t="str">
        <f t="shared" si="14"/>
        <v/>
      </c>
      <c r="U77" s="4"/>
      <c r="V77" s="4"/>
    </row>
    <row r="78" spans="1:22" x14ac:dyDescent="0.25">
      <c r="A78" s="14" t="s">
        <v>29</v>
      </c>
      <c r="B78" s="15" t="s">
        <v>107</v>
      </c>
      <c r="C78" s="15" t="s">
        <v>39</v>
      </c>
      <c r="D78" s="3" t="s">
        <v>33</v>
      </c>
      <c r="E78" s="10" t="s">
        <v>189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13" t="str">
        <f t="shared" si="10"/>
        <v/>
      </c>
      <c r="Q78" s="13" t="str">
        <f t="shared" si="11"/>
        <v/>
      </c>
      <c r="R78" s="13" t="str">
        <f t="shared" si="12"/>
        <v/>
      </c>
      <c r="S78" s="16" t="str">
        <f t="shared" si="13"/>
        <v/>
      </c>
      <c r="T78" s="13" t="str">
        <f t="shared" si="14"/>
        <v/>
      </c>
      <c r="U78" s="4"/>
      <c r="V78" s="4"/>
    </row>
    <row r="79" spans="1:22" x14ac:dyDescent="0.25">
      <c r="A79" s="14" t="s">
        <v>29</v>
      </c>
      <c r="B79" s="15" t="s">
        <v>107</v>
      </c>
      <c r="C79" s="15" t="s">
        <v>33</v>
      </c>
      <c r="D79" s="3" t="s">
        <v>39</v>
      </c>
      <c r="E79" s="12" t="s">
        <v>190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13" t="str">
        <f t="shared" si="10"/>
        <v/>
      </c>
      <c r="Q79" s="13" t="str">
        <f t="shared" si="11"/>
        <v/>
      </c>
      <c r="R79" s="13" t="str">
        <f t="shared" si="12"/>
        <v/>
      </c>
      <c r="S79" s="16" t="str">
        <f t="shared" si="13"/>
        <v/>
      </c>
      <c r="T79" s="13" t="str">
        <f t="shared" si="14"/>
        <v/>
      </c>
      <c r="U79" s="4"/>
      <c r="V79" s="4"/>
    </row>
    <row r="80" spans="1:22" x14ac:dyDescent="0.25">
      <c r="A80" s="14" t="s">
        <v>29</v>
      </c>
      <c r="B80" s="15" t="s">
        <v>108</v>
      </c>
      <c r="C80" s="15" t="s">
        <v>37</v>
      </c>
      <c r="D80" s="3" t="s">
        <v>35</v>
      </c>
      <c r="E80" s="10" t="s">
        <v>189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13" t="str">
        <f t="shared" si="10"/>
        <v/>
      </c>
      <c r="Q80" s="13" t="str">
        <f t="shared" si="11"/>
        <v/>
      </c>
      <c r="R80" s="13" t="str">
        <f t="shared" si="12"/>
        <v/>
      </c>
      <c r="S80" s="16" t="str">
        <f t="shared" si="13"/>
        <v/>
      </c>
      <c r="T80" s="13" t="str">
        <f t="shared" si="14"/>
        <v/>
      </c>
      <c r="U80" s="4"/>
      <c r="V80" s="4"/>
    </row>
    <row r="81" spans="1:22" x14ac:dyDescent="0.25">
      <c r="A81" s="14" t="s">
        <v>29</v>
      </c>
      <c r="B81" s="15" t="s">
        <v>108</v>
      </c>
      <c r="C81" s="15" t="s">
        <v>35</v>
      </c>
      <c r="D81" s="3" t="s">
        <v>37</v>
      </c>
      <c r="E81" s="12" t="s">
        <v>190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13" t="str">
        <f t="shared" si="10"/>
        <v/>
      </c>
      <c r="Q81" s="13" t="str">
        <f t="shared" si="11"/>
        <v/>
      </c>
      <c r="R81" s="13" t="str">
        <f t="shared" si="12"/>
        <v/>
      </c>
      <c r="S81" s="16" t="str">
        <f t="shared" si="13"/>
        <v/>
      </c>
      <c r="T81" s="13" t="str">
        <f t="shared" si="14"/>
        <v/>
      </c>
      <c r="U81" s="4"/>
      <c r="V81" s="4"/>
    </row>
    <row r="82" spans="1:22" x14ac:dyDescent="0.25">
      <c r="A82" s="14" t="s">
        <v>29</v>
      </c>
      <c r="B82" s="15" t="s">
        <v>109</v>
      </c>
      <c r="C82" s="15" t="s">
        <v>30</v>
      </c>
      <c r="D82" s="3" t="s">
        <v>32</v>
      </c>
      <c r="E82" s="10" t="s">
        <v>189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13" t="str">
        <f t="shared" si="10"/>
        <v/>
      </c>
      <c r="Q82" s="13" t="str">
        <f t="shared" si="11"/>
        <v/>
      </c>
      <c r="R82" s="13" t="str">
        <f t="shared" si="12"/>
        <v/>
      </c>
      <c r="S82" s="16" t="str">
        <f t="shared" si="13"/>
        <v/>
      </c>
      <c r="T82" s="13" t="str">
        <f t="shared" si="14"/>
        <v/>
      </c>
      <c r="U82" s="4"/>
      <c r="V82" s="4"/>
    </row>
    <row r="83" spans="1:22" x14ac:dyDescent="0.25">
      <c r="A83" s="14" t="s">
        <v>29</v>
      </c>
      <c r="B83" s="15" t="s">
        <v>109</v>
      </c>
      <c r="C83" s="15" t="s">
        <v>32</v>
      </c>
      <c r="D83" s="3" t="s">
        <v>30</v>
      </c>
      <c r="E83" s="12" t="s">
        <v>190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13" t="str">
        <f t="shared" si="10"/>
        <v/>
      </c>
      <c r="Q83" s="13" t="str">
        <f t="shared" si="11"/>
        <v/>
      </c>
      <c r="R83" s="13" t="str">
        <f t="shared" si="12"/>
        <v/>
      </c>
      <c r="S83" s="16" t="str">
        <f t="shared" si="13"/>
        <v/>
      </c>
      <c r="T83" s="13" t="str">
        <f t="shared" si="14"/>
        <v/>
      </c>
      <c r="U83" s="4"/>
      <c r="V83" s="4"/>
    </row>
    <row r="84" spans="1:22" x14ac:dyDescent="0.25">
      <c r="A84" s="14" t="s">
        <v>29</v>
      </c>
      <c r="B84" s="15" t="s">
        <v>110</v>
      </c>
      <c r="C84" s="15" t="s">
        <v>34</v>
      </c>
      <c r="D84" s="3" t="s">
        <v>31</v>
      </c>
      <c r="E84" s="10" t="s">
        <v>189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13" t="str">
        <f t="shared" si="10"/>
        <v/>
      </c>
      <c r="Q84" s="13" t="str">
        <f t="shared" si="11"/>
        <v/>
      </c>
      <c r="R84" s="13" t="str">
        <f t="shared" si="12"/>
        <v/>
      </c>
      <c r="S84" s="16" t="str">
        <f t="shared" si="13"/>
        <v/>
      </c>
      <c r="T84" s="13" t="str">
        <f t="shared" si="14"/>
        <v/>
      </c>
      <c r="U84" s="4"/>
      <c r="V84" s="4"/>
    </row>
    <row r="85" spans="1:22" x14ac:dyDescent="0.25">
      <c r="A85" s="14" t="s">
        <v>29</v>
      </c>
      <c r="B85" s="15" t="s">
        <v>110</v>
      </c>
      <c r="C85" s="15" t="s">
        <v>31</v>
      </c>
      <c r="D85" s="3" t="s">
        <v>34</v>
      </c>
      <c r="E85" s="12" t="s">
        <v>190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13" t="str">
        <f t="shared" si="10"/>
        <v/>
      </c>
      <c r="Q85" s="13" t="str">
        <f t="shared" si="11"/>
        <v/>
      </c>
      <c r="R85" s="13" t="str">
        <f t="shared" si="12"/>
        <v/>
      </c>
      <c r="S85" s="16" t="str">
        <f t="shared" si="13"/>
        <v/>
      </c>
      <c r="T85" s="13" t="str">
        <f t="shared" si="14"/>
        <v/>
      </c>
      <c r="U85" s="4"/>
      <c r="V85" s="4"/>
    </row>
    <row r="86" spans="1:22" x14ac:dyDescent="0.25">
      <c r="A86" s="14" t="s">
        <v>29</v>
      </c>
      <c r="B86" s="15" t="s">
        <v>111</v>
      </c>
      <c r="C86" s="15" t="s">
        <v>36</v>
      </c>
      <c r="D86" s="3" t="s">
        <v>33</v>
      </c>
      <c r="E86" s="10" t="s">
        <v>189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13" t="str">
        <f t="shared" si="10"/>
        <v/>
      </c>
      <c r="Q86" s="13" t="str">
        <f t="shared" si="11"/>
        <v/>
      </c>
      <c r="R86" s="13" t="str">
        <f t="shared" si="12"/>
        <v/>
      </c>
      <c r="S86" s="16" t="str">
        <f t="shared" si="13"/>
        <v/>
      </c>
      <c r="T86" s="13" t="str">
        <f t="shared" si="14"/>
        <v/>
      </c>
      <c r="U86" s="4"/>
      <c r="V86" s="4"/>
    </row>
    <row r="87" spans="1:22" x14ac:dyDescent="0.25">
      <c r="A87" s="14" t="s">
        <v>29</v>
      </c>
      <c r="B87" s="15" t="s">
        <v>111</v>
      </c>
      <c r="C87" s="15" t="s">
        <v>33</v>
      </c>
      <c r="D87" s="3" t="s">
        <v>36</v>
      </c>
      <c r="E87" s="12" t="s">
        <v>190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13" t="str">
        <f t="shared" si="10"/>
        <v/>
      </c>
      <c r="Q87" s="13" t="str">
        <f t="shared" si="11"/>
        <v/>
      </c>
      <c r="R87" s="13" t="str">
        <f t="shared" si="12"/>
        <v/>
      </c>
      <c r="S87" s="16" t="str">
        <f t="shared" si="13"/>
        <v/>
      </c>
      <c r="T87" s="13" t="str">
        <f t="shared" si="14"/>
        <v/>
      </c>
      <c r="U87" s="4"/>
      <c r="V87" s="4"/>
    </row>
    <row r="88" spans="1:22" x14ac:dyDescent="0.25">
      <c r="A88" s="14" t="s">
        <v>29</v>
      </c>
      <c r="B88" s="15" t="s">
        <v>112</v>
      </c>
      <c r="C88" s="15" t="s">
        <v>38</v>
      </c>
      <c r="D88" s="3" t="s">
        <v>35</v>
      </c>
      <c r="E88" s="10" t="s">
        <v>189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13" t="str">
        <f t="shared" si="10"/>
        <v/>
      </c>
      <c r="Q88" s="13" t="str">
        <f t="shared" si="11"/>
        <v/>
      </c>
      <c r="R88" s="13" t="str">
        <f t="shared" si="12"/>
        <v/>
      </c>
      <c r="S88" s="16" t="str">
        <f t="shared" si="13"/>
        <v/>
      </c>
      <c r="T88" s="13" t="str">
        <f t="shared" si="14"/>
        <v/>
      </c>
      <c r="U88" s="4"/>
      <c r="V88" s="4"/>
    </row>
    <row r="89" spans="1:22" x14ac:dyDescent="0.25">
      <c r="A89" s="14" t="s">
        <v>29</v>
      </c>
      <c r="B89" s="15" t="s">
        <v>112</v>
      </c>
      <c r="C89" s="15" t="s">
        <v>35</v>
      </c>
      <c r="D89" s="3" t="s">
        <v>38</v>
      </c>
      <c r="E89" s="12" t="s">
        <v>190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13" t="str">
        <f t="shared" si="10"/>
        <v/>
      </c>
      <c r="Q89" s="13" t="str">
        <f t="shared" si="11"/>
        <v/>
      </c>
      <c r="R89" s="13" t="str">
        <f t="shared" si="12"/>
        <v/>
      </c>
      <c r="S89" s="16" t="str">
        <f t="shared" si="13"/>
        <v/>
      </c>
      <c r="T89" s="13" t="str">
        <f t="shared" si="14"/>
        <v/>
      </c>
      <c r="U89" s="4"/>
      <c r="V89" s="4"/>
    </row>
    <row r="90" spans="1:22" x14ac:dyDescent="0.25">
      <c r="A90" s="14" t="s">
        <v>29</v>
      </c>
      <c r="B90" s="15" t="s">
        <v>113</v>
      </c>
      <c r="C90" s="15" t="s">
        <v>39</v>
      </c>
      <c r="D90" s="3" t="s">
        <v>37</v>
      </c>
      <c r="E90" s="10" t="s">
        <v>189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13" t="str">
        <f t="shared" si="10"/>
        <v/>
      </c>
      <c r="Q90" s="13" t="str">
        <f t="shared" si="11"/>
        <v/>
      </c>
      <c r="R90" s="13" t="str">
        <f t="shared" si="12"/>
        <v/>
      </c>
      <c r="S90" s="16" t="str">
        <f t="shared" si="13"/>
        <v/>
      </c>
      <c r="T90" s="13" t="str">
        <f t="shared" si="14"/>
        <v/>
      </c>
      <c r="U90" s="4"/>
      <c r="V90" s="4"/>
    </row>
    <row r="91" spans="1:22" x14ac:dyDescent="0.25">
      <c r="A91" s="14" t="s">
        <v>29</v>
      </c>
      <c r="B91" s="15" t="s">
        <v>113</v>
      </c>
      <c r="C91" s="15" t="s">
        <v>37</v>
      </c>
      <c r="D91" s="3" t="s">
        <v>39</v>
      </c>
      <c r="E91" s="12" t="s">
        <v>190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13" t="str">
        <f t="shared" si="10"/>
        <v/>
      </c>
      <c r="Q91" s="13" t="str">
        <f t="shared" si="11"/>
        <v/>
      </c>
      <c r="R91" s="13" t="str">
        <f t="shared" si="12"/>
        <v/>
      </c>
      <c r="S91" s="16" t="str">
        <f t="shared" si="13"/>
        <v/>
      </c>
      <c r="T91" s="13" t="str">
        <f t="shared" si="14"/>
        <v/>
      </c>
      <c r="U91" s="4"/>
      <c r="V91" s="4"/>
    </row>
    <row r="92" spans="1:22" x14ac:dyDescent="0.25">
      <c r="A92" s="17" t="s">
        <v>40</v>
      </c>
      <c r="B92" s="15" t="s">
        <v>114</v>
      </c>
      <c r="C92" s="15" t="s">
        <v>41</v>
      </c>
      <c r="D92" s="3" t="s">
        <v>42</v>
      </c>
      <c r="E92" s="10" t="s">
        <v>189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13" t="str">
        <f t="shared" si="10"/>
        <v/>
      </c>
      <c r="Q92" s="13" t="str">
        <f t="shared" si="11"/>
        <v/>
      </c>
      <c r="R92" s="13" t="str">
        <f t="shared" si="12"/>
        <v/>
      </c>
      <c r="S92" s="16" t="str">
        <f t="shared" si="13"/>
        <v/>
      </c>
      <c r="T92" s="13" t="str">
        <f t="shared" si="14"/>
        <v/>
      </c>
      <c r="U92" s="4"/>
      <c r="V92" s="4"/>
    </row>
    <row r="93" spans="1:22" x14ac:dyDescent="0.25">
      <c r="A93" s="17" t="s">
        <v>40</v>
      </c>
      <c r="B93" s="15" t="s">
        <v>114</v>
      </c>
      <c r="C93" s="15" t="s">
        <v>42</v>
      </c>
      <c r="D93" s="3" t="s">
        <v>41</v>
      </c>
      <c r="E93" s="12" t="s">
        <v>190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13" t="str">
        <f t="shared" si="10"/>
        <v/>
      </c>
      <c r="Q93" s="13" t="str">
        <f t="shared" si="11"/>
        <v/>
      </c>
      <c r="R93" s="13" t="str">
        <f t="shared" si="12"/>
        <v/>
      </c>
      <c r="S93" s="16" t="str">
        <f t="shared" si="13"/>
        <v/>
      </c>
      <c r="T93" s="13" t="str">
        <f t="shared" si="14"/>
        <v/>
      </c>
      <c r="U93" s="4"/>
      <c r="V93" s="4"/>
    </row>
    <row r="94" spans="1:22" x14ac:dyDescent="0.25">
      <c r="A94" s="17" t="s">
        <v>40</v>
      </c>
      <c r="B94" s="15" t="s">
        <v>117</v>
      </c>
      <c r="C94" s="15" t="s">
        <v>43</v>
      </c>
      <c r="D94" s="3" t="s">
        <v>44</v>
      </c>
      <c r="E94" s="10" t="s">
        <v>189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13" t="str">
        <f t="shared" si="10"/>
        <v/>
      </c>
      <c r="Q94" s="13" t="str">
        <f t="shared" si="11"/>
        <v/>
      </c>
      <c r="R94" s="13" t="str">
        <f t="shared" si="12"/>
        <v/>
      </c>
      <c r="S94" s="16" t="str">
        <f t="shared" si="13"/>
        <v/>
      </c>
      <c r="T94" s="13" t="str">
        <f t="shared" si="14"/>
        <v/>
      </c>
      <c r="U94" s="4"/>
      <c r="V94" s="4"/>
    </row>
    <row r="95" spans="1:22" x14ac:dyDescent="0.25">
      <c r="A95" s="17" t="s">
        <v>40</v>
      </c>
      <c r="B95" s="15" t="s">
        <v>117</v>
      </c>
      <c r="C95" s="15" t="s">
        <v>44</v>
      </c>
      <c r="D95" s="3" t="s">
        <v>43</v>
      </c>
      <c r="E95" s="12" t="s">
        <v>190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13" t="str">
        <f t="shared" si="10"/>
        <v/>
      </c>
      <c r="Q95" s="13" t="str">
        <f t="shared" si="11"/>
        <v/>
      </c>
      <c r="R95" s="13" t="str">
        <f t="shared" si="12"/>
        <v/>
      </c>
      <c r="S95" s="16" t="str">
        <f t="shared" si="13"/>
        <v/>
      </c>
      <c r="T95" s="13" t="str">
        <f t="shared" si="14"/>
        <v/>
      </c>
      <c r="U95" s="4"/>
      <c r="V95" s="4"/>
    </row>
    <row r="96" spans="1:22" x14ac:dyDescent="0.25">
      <c r="A96" s="17" t="s">
        <v>40</v>
      </c>
      <c r="B96" s="15" t="s">
        <v>120</v>
      </c>
      <c r="C96" s="15" t="s">
        <v>45</v>
      </c>
      <c r="D96" s="3" t="s">
        <v>46</v>
      </c>
      <c r="E96" s="10" t="s">
        <v>189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13" t="str">
        <f t="shared" si="10"/>
        <v/>
      </c>
      <c r="Q96" s="13" t="str">
        <f t="shared" si="11"/>
        <v/>
      </c>
      <c r="R96" s="13" t="str">
        <f t="shared" si="12"/>
        <v/>
      </c>
      <c r="S96" s="16" t="str">
        <f t="shared" si="13"/>
        <v/>
      </c>
      <c r="T96" s="13" t="str">
        <f t="shared" si="14"/>
        <v/>
      </c>
      <c r="U96" s="4"/>
      <c r="V96" s="4"/>
    </row>
    <row r="97" spans="1:22" x14ac:dyDescent="0.25">
      <c r="A97" s="17" t="s">
        <v>40</v>
      </c>
      <c r="B97" s="15" t="s">
        <v>120</v>
      </c>
      <c r="C97" s="15" t="s">
        <v>46</v>
      </c>
      <c r="D97" s="3" t="s">
        <v>45</v>
      </c>
      <c r="E97" s="12" t="s">
        <v>190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13" t="str">
        <f t="shared" si="10"/>
        <v/>
      </c>
      <c r="Q97" s="13" t="str">
        <f t="shared" si="11"/>
        <v/>
      </c>
      <c r="R97" s="13" t="str">
        <f t="shared" si="12"/>
        <v/>
      </c>
      <c r="S97" s="16" t="str">
        <f t="shared" si="13"/>
        <v/>
      </c>
      <c r="T97" s="13" t="str">
        <f t="shared" si="14"/>
        <v/>
      </c>
      <c r="U97" s="4"/>
      <c r="V97" s="4"/>
    </row>
    <row r="98" spans="1:22" x14ac:dyDescent="0.25">
      <c r="A98" s="17" t="s">
        <v>40</v>
      </c>
      <c r="B98" s="15" t="s">
        <v>123</v>
      </c>
      <c r="C98" s="15" t="s">
        <v>47</v>
      </c>
      <c r="D98" s="3" t="s">
        <v>48</v>
      </c>
      <c r="E98" s="10" t="s">
        <v>189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13" t="str">
        <f t="shared" ref="P98:P129" si="15">IF(COUNT($F98:$I98)=0,"",$F98*3+$G98*3+$H98+$I98*2)</f>
        <v/>
      </c>
      <c r="Q98" s="13" t="str">
        <f t="shared" ref="Q98:Q129" si="16">IF(COUNT($J98:$M98)=0,"",$J98*3+$K98+$L98+$M98*2)</f>
        <v/>
      </c>
      <c r="R98" s="13" t="str">
        <f t="shared" ref="R98:R129" si="17">IF(COUNT($N98:$O98)=0,"",$N98*5+$O98*10+IF($O98=2,10,0))</f>
        <v/>
      </c>
      <c r="S98" s="16" t="str">
        <f t="shared" ref="S98:S129" si="18">IF(COUNT($F98:$O98)=0,"",SUM($P98:$R98))</f>
        <v/>
      </c>
      <c r="T98" s="13" t="str">
        <f t="shared" ref="T98:T129" si="19">IF(COUNT($G98,$H98,$J98,$K98)=0,"",SUM($G98,$H98,$J98,$K98))</f>
        <v/>
      </c>
      <c r="U98" s="4"/>
      <c r="V98" s="4"/>
    </row>
    <row r="99" spans="1:22" x14ac:dyDescent="0.25">
      <c r="A99" s="17" t="s">
        <v>40</v>
      </c>
      <c r="B99" s="15" t="s">
        <v>123</v>
      </c>
      <c r="C99" s="15" t="s">
        <v>48</v>
      </c>
      <c r="D99" s="3" t="s">
        <v>47</v>
      </c>
      <c r="E99" s="12" t="s">
        <v>190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13" t="str">
        <f t="shared" si="15"/>
        <v/>
      </c>
      <c r="Q99" s="13" t="str">
        <f t="shared" si="16"/>
        <v/>
      </c>
      <c r="R99" s="13" t="str">
        <f t="shared" si="17"/>
        <v/>
      </c>
      <c r="S99" s="16" t="str">
        <f t="shared" si="18"/>
        <v/>
      </c>
      <c r="T99" s="13" t="str">
        <f t="shared" si="19"/>
        <v/>
      </c>
      <c r="U99" s="4"/>
      <c r="V99" s="4"/>
    </row>
    <row r="100" spans="1:22" x14ac:dyDescent="0.25">
      <c r="A100" s="17" t="s">
        <v>40</v>
      </c>
      <c r="B100" s="15" t="s">
        <v>126</v>
      </c>
      <c r="C100" s="15" t="s">
        <v>49</v>
      </c>
      <c r="D100" s="3" t="s">
        <v>50</v>
      </c>
      <c r="E100" s="10" t="s">
        <v>189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3" t="str">
        <f t="shared" si="15"/>
        <v/>
      </c>
      <c r="Q100" s="13" t="str">
        <f t="shared" si="16"/>
        <v/>
      </c>
      <c r="R100" s="13" t="str">
        <f t="shared" si="17"/>
        <v/>
      </c>
      <c r="S100" s="16" t="str">
        <f t="shared" si="18"/>
        <v/>
      </c>
      <c r="T100" s="13" t="str">
        <f t="shared" si="19"/>
        <v/>
      </c>
      <c r="U100" s="4"/>
      <c r="V100" s="4"/>
    </row>
    <row r="101" spans="1:22" x14ac:dyDescent="0.25">
      <c r="A101" s="17" t="s">
        <v>40</v>
      </c>
      <c r="B101" s="15" t="s">
        <v>126</v>
      </c>
      <c r="C101" s="15" t="s">
        <v>50</v>
      </c>
      <c r="D101" s="3" t="s">
        <v>49</v>
      </c>
      <c r="E101" s="12" t="s">
        <v>190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3" t="str">
        <f t="shared" si="15"/>
        <v/>
      </c>
      <c r="Q101" s="13" t="str">
        <f t="shared" si="16"/>
        <v/>
      </c>
      <c r="R101" s="13" t="str">
        <f t="shared" si="17"/>
        <v/>
      </c>
      <c r="S101" s="16" t="str">
        <f t="shared" si="18"/>
        <v/>
      </c>
      <c r="T101" s="13" t="str">
        <f t="shared" si="19"/>
        <v/>
      </c>
      <c r="U101" s="4"/>
      <c r="V101" s="4"/>
    </row>
    <row r="102" spans="1:22" x14ac:dyDescent="0.25">
      <c r="A102" s="17" t="s">
        <v>40</v>
      </c>
      <c r="B102" s="15" t="s">
        <v>129</v>
      </c>
      <c r="C102" s="15" t="s">
        <v>44</v>
      </c>
      <c r="D102" s="3" t="s">
        <v>41</v>
      </c>
      <c r="E102" s="10" t="s">
        <v>189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3" t="str">
        <f t="shared" si="15"/>
        <v/>
      </c>
      <c r="Q102" s="13" t="str">
        <f t="shared" si="16"/>
        <v/>
      </c>
      <c r="R102" s="13" t="str">
        <f t="shared" si="17"/>
        <v/>
      </c>
      <c r="S102" s="16" t="str">
        <f t="shared" si="18"/>
        <v/>
      </c>
      <c r="T102" s="13" t="str">
        <f t="shared" si="19"/>
        <v/>
      </c>
      <c r="U102" s="4"/>
      <c r="V102" s="4"/>
    </row>
    <row r="103" spans="1:22" x14ac:dyDescent="0.25">
      <c r="A103" s="17" t="s">
        <v>40</v>
      </c>
      <c r="B103" s="15" t="s">
        <v>129</v>
      </c>
      <c r="C103" s="15" t="s">
        <v>41</v>
      </c>
      <c r="D103" s="3" t="s">
        <v>44</v>
      </c>
      <c r="E103" s="12" t="s">
        <v>190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3" t="str">
        <f t="shared" si="15"/>
        <v/>
      </c>
      <c r="Q103" s="13" t="str">
        <f t="shared" si="16"/>
        <v/>
      </c>
      <c r="R103" s="13" t="str">
        <f t="shared" si="17"/>
        <v/>
      </c>
      <c r="S103" s="16" t="str">
        <f t="shared" si="18"/>
        <v/>
      </c>
      <c r="T103" s="13" t="str">
        <f t="shared" si="19"/>
        <v/>
      </c>
      <c r="U103" s="4"/>
      <c r="V103" s="4"/>
    </row>
    <row r="104" spans="1:22" x14ac:dyDescent="0.25">
      <c r="A104" s="17" t="s">
        <v>40</v>
      </c>
      <c r="B104" s="15" t="s">
        <v>130</v>
      </c>
      <c r="C104" s="15" t="s">
        <v>42</v>
      </c>
      <c r="D104" s="3" t="s">
        <v>46</v>
      </c>
      <c r="E104" s="10" t="s">
        <v>189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3" t="str">
        <f t="shared" si="15"/>
        <v/>
      </c>
      <c r="Q104" s="13" t="str">
        <f t="shared" si="16"/>
        <v/>
      </c>
      <c r="R104" s="13" t="str">
        <f t="shared" si="17"/>
        <v/>
      </c>
      <c r="S104" s="16" t="str">
        <f t="shared" si="18"/>
        <v/>
      </c>
      <c r="T104" s="13" t="str">
        <f t="shared" si="19"/>
        <v/>
      </c>
      <c r="U104" s="4"/>
      <c r="V104" s="4"/>
    </row>
    <row r="105" spans="1:22" x14ac:dyDescent="0.25">
      <c r="A105" s="17" t="s">
        <v>40</v>
      </c>
      <c r="B105" s="15" t="s">
        <v>130</v>
      </c>
      <c r="C105" s="15" t="s">
        <v>46</v>
      </c>
      <c r="D105" s="3" t="s">
        <v>42</v>
      </c>
      <c r="E105" s="12" t="s">
        <v>190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3" t="str">
        <f t="shared" si="15"/>
        <v/>
      </c>
      <c r="Q105" s="13" t="str">
        <f t="shared" si="16"/>
        <v/>
      </c>
      <c r="R105" s="13" t="str">
        <f t="shared" si="17"/>
        <v/>
      </c>
      <c r="S105" s="16" t="str">
        <f t="shared" si="18"/>
        <v/>
      </c>
      <c r="T105" s="13" t="str">
        <f t="shared" si="19"/>
        <v/>
      </c>
      <c r="U105" s="4"/>
      <c r="V105" s="4"/>
    </row>
    <row r="106" spans="1:22" x14ac:dyDescent="0.25">
      <c r="A106" s="17" t="s">
        <v>40</v>
      </c>
      <c r="B106" s="15" t="s">
        <v>131</v>
      </c>
      <c r="C106" s="15" t="s">
        <v>43</v>
      </c>
      <c r="D106" s="3" t="s">
        <v>48</v>
      </c>
      <c r="E106" s="10" t="s">
        <v>189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3" t="str">
        <f t="shared" si="15"/>
        <v/>
      </c>
      <c r="Q106" s="13" t="str">
        <f t="shared" si="16"/>
        <v/>
      </c>
      <c r="R106" s="13" t="str">
        <f t="shared" si="17"/>
        <v/>
      </c>
      <c r="S106" s="16" t="str">
        <f t="shared" si="18"/>
        <v/>
      </c>
      <c r="T106" s="13" t="str">
        <f t="shared" si="19"/>
        <v/>
      </c>
      <c r="U106" s="4"/>
      <c r="V106" s="4"/>
    </row>
    <row r="107" spans="1:22" x14ac:dyDescent="0.25">
      <c r="A107" s="17" t="s">
        <v>40</v>
      </c>
      <c r="B107" s="15" t="s">
        <v>131</v>
      </c>
      <c r="C107" s="15" t="s">
        <v>48</v>
      </c>
      <c r="D107" s="3" t="s">
        <v>43</v>
      </c>
      <c r="E107" s="12" t="s">
        <v>190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3" t="str">
        <f t="shared" si="15"/>
        <v/>
      </c>
      <c r="Q107" s="13" t="str">
        <f t="shared" si="16"/>
        <v/>
      </c>
      <c r="R107" s="13" t="str">
        <f t="shared" si="17"/>
        <v/>
      </c>
      <c r="S107" s="16" t="str">
        <f t="shared" si="18"/>
        <v/>
      </c>
      <c r="T107" s="13" t="str">
        <f t="shared" si="19"/>
        <v/>
      </c>
      <c r="U107" s="4"/>
      <c r="V107" s="4"/>
    </row>
    <row r="108" spans="1:22" x14ac:dyDescent="0.25">
      <c r="A108" s="17" t="s">
        <v>40</v>
      </c>
      <c r="B108" s="15" t="s">
        <v>132</v>
      </c>
      <c r="C108" s="15" t="s">
        <v>45</v>
      </c>
      <c r="D108" s="3" t="s">
        <v>50</v>
      </c>
      <c r="E108" s="10" t="s">
        <v>189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3" t="str">
        <f t="shared" si="15"/>
        <v/>
      </c>
      <c r="Q108" s="13" t="str">
        <f t="shared" si="16"/>
        <v/>
      </c>
      <c r="R108" s="13" t="str">
        <f t="shared" si="17"/>
        <v/>
      </c>
      <c r="S108" s="16" t="str">
        <f t="shared" si="18"/>
        <v/>
      </c>
      <c r="T108" s="13" t="str">
        <f t="shared" si="19"/>
        <v/>
      </c>
      <c r="U108" s="4"/>
      <c r="V108" s="4"/>
    </row>
    <row r="109" spans="1:22" x14ac:dyDescent="0.25">
      <c r="A109" s="17" t="s">
        <v>40</v>
      </c>
      <c r="B109" s="15" t="s">
        <v>132</v>
      </c>
      <c r="C109" s="15" t="s">
        <v>50</v>
      </c>
      <c r="D109" s="3" t="s">
        <v>45</v>
      </c>
      <c r="E109" s="12" t="s">
        <v>190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3" t="str">
        <f t="shared" si="15"/>
        <v/>
      </c>
      <c r="Q109" s="13" t="str">
        <f t="shared" si="16"/>
        <v/>
      </c>
      <c r="R109" s="13" t="str">
        <f t="shared" si="17"/>
        <v/>
      </c>
      <c r="S109" s="16" t="str">
        <f t="shared" si="18"/>
        <v/>
      </c>
      <c r="T109" s="13" t="str">
        <f t="shared" si="19"/>
        <v/>
      </c>
      <c r="U109" s="4"/>
      <c r="V109" s="4"/>
    </row>
    <row r="110" spans="1:22" x14ac:dyDescent="0.25">
      <c r="A110" s="17" t="s">
        <v>40</v>
      </c>
      <c r="B110" s="15" t="s">
        <v>133</v>
      </c>
      <c r="C110" s="15" t="s">
        <v>47</v>
      </c>
      <c r="D110" s="3" t="s">
        <v>49</v>
      </c>
      <c r="E110" s="10" t="s">
        <v>189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3" t="str">
        <f t="shared" si="15"/>
        <v/>
      </c>
      <c r="Q110" s="13" t="str">
        <f t="shared" si="16"/>
        <v/>
      </c>
      <c r="R110" s="13" t="str">
        <f t="shared" si="17"/>
        <v/>
      </c>
      <c r="S110" s="16" t="str">
        <f t="shared" si="18"/>
        <v/>
      </c>
      <c r="T110" s="13" t="str">
        <f t="shared" si="19"/>
        <v/>
      </c>
      <c r="U110" s="4"/>
      <c r="V110" s="4"/>
    </row>
    <row r="111" spans="1:22" x14ac:dyDescent="0.25">
      <c r="A111" s="17" t="s">
        <v>40</v>
      </c>
      <c r="B111" s="15" t="s">
        <v>133</v>
      </c>
      <c r="C111" s="15" t="s">
        <v>49</v>
      </c>
      <c r="D111" s="3" t="s">
        <v>47</v>
      </c>
      <c r="E111" s="12" t="s">
        <v>190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3" t="str">
        <f t="shared" si="15"/>
        <v/>
      </c>
      <c r="Q111" s="13" t="str">
        <f t="shared" si="16"/>
        <v/>
      </c>
      <c r="R111" s="13" t="str">
        <f t="shared" si="17"/>
        <v/>
      </c>
      <c r="S111" s="16" t="str">
        <f t="shared" si="18"/>
        <v/>
      </c>
      <c r="T111" s="13" t="str">
        <f t="shared" si="19"/>
        <v/>
      </c>
      <c r="U111" s="4"/>
      <c r="V111" s="4"/>
    </row>
    <row r="112" spans="1:22" x14ac:dyDescent="0.25">
      <c r="A112" s="17" t="s">
        <v>40</v>
      </c>
      <c r="B112" s="15" t="s">
        <v>134</v>
      </c>
      <c r="C112" s="15" t="s">
        <v>41</v>
      </c>
      <c r="D112" s="3" t="s">
        <v>46</v>
      </c>
      <c r="E112" s="10" t="s">
        <v>189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3" t="str">
        <f t="shared" si="15"/>
        <v/>
      </c>
      <c r="Q112" s="13" t="str">
        <f t="shared" si="16"/>
        <v/>
      </c>
      <c r="R112" s="13" t="str">
        <f t="shared" si="17"/>
        <v/>
      </c>
      <c r="S112" s="16" t="str">
        <f t="shared" si="18"/>
        <v/>
      </c>
      <c r="T112" s="13" t="str">
        <f t="shared" si="19"/>
        <v/>
      </c>
      <c r="U112" s="4"/>
      <c r="V112" s="4"/>
    </row>
    <row r="113" spans="1:22" x14ac:dyDescent="0.25">
      <c r="A113" s="17" t="s">
        <v>40</v>
      </c>
      <c r="B113" s="15" t="s">
        <v>134</v>
      </c>
      <c r="C113" s="15" t="s">
        <v>46</v>
      </c>
      <c r="D113" s="3" t="s">
        <v>41</v>
      </c>
      <c r="E113" s="12" t="s">
        <v>190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3" t="str">
        <f t="shared" si="15"/>
        <v/>
      </c>
      <c r="Q113" s="13" t="str">
        <f t="shared" si="16"/>
        <v/>
      </c>
      <c r="R113" s="13" t="str">
        <f t="shared" si="17"/>
        <v/>
      </c>
      <c r="S113" s="16" t="str">
        <f t="shared" si="18"/>
        <v/>
      </c>
      <c r="T113" s="13" t="str">
        <f t="shared" si="19"/>
        <v/>
      </c>
      <c r="U113" s="4"/>
      <c r="V113" s="4"/>
    </row>
    <row r="114" spans="1:22" x14ac:dyDescent="0.25">
      <c r="A114" s="17" t="s">
        <v>40</v>
      </c>
      <c r="B114" s="15" t="s">
        <v>135</v>
      </c>
      <c r="C114" s="15" t="s">
        <v>44</v>
      </c>
      <c r="D114" s="3" t="s">
        <v>48</v>
      </c>
      <c r="E114" s="10" t="s">
        <v>189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3" t="str">
        <f t="shared" si="15"/>
        <v/>
      </c>
      <c r="Q114" s="13" t="str">
        <f t="shared" si="16"/>
        <v/>
      </c>
      <c r="R114" s="13" t="str">
        <f t="shared" si="17"/>
        <v/>
      </c>
      <c r="S114" s="16" t="str">
        <f t="shared" si="18"/>
        <v/>
      </c>
      <c r="T114" s="13" t="str">
        <f t="shared" si="19"/>
        <v/>
      </c>
      <c r="U114" s="4"/>
      <c r="V114" s="4"/>
    </row>
    <row r="115" spans="1:22" x14ac:dyDescent="0.25">
      <c r="A115" s="17" t="s">
        <v>40</v>
      </c>
      <c r="B115" s="15" t="s">
        <v>135</v>
      </c>
      <c r="C115" s="15" t="s">
        <v>48</v>
      </c>
      <c r="D115" s="3" t="s">
        <v>44</v>
      </c>
      <c r="E115" s="12" t="s">
        <v>190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3" t="str">
        <f t="shared" si="15"/>
        <v/>
      </c>
      <c r="Q115" s="13" t="str">
        <f t="shared" si="16"/>
        <v/>
      </c>
      <c r="R115" s="13" t="str">
        <f t="shared" si="17"/>
        <v/>
      </c>
      <c r="S115" s="16" t="str">
        <f t="shared" si="18"/>
        <v/>
      </c>
      <c r="T115" s="13" t="str">
        <f t="shared" si="19"/>
        <v/>
      </c>
      <c r="U115" s="4"/>
      <c r="V115" s="4"/>
    </row>
    <row r="116" spans="1:22" x14ac:dyDescent="0.25">
      <c r="A116" s="17" t="s">
        <v>40</v>
      </c>
      <c r="B116" s="15" t="s">
        <v>136</v>
      </c>
      <c r="C116" s="15" t="s">
        <v>42</v>
      </c>
      <c r="D116" s="3" t="s">
        <v>50</v>
      </c>
      <c r="E116" s="10" t="s">
        <v>189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3" t="str">
        <f t="shared" si="15"/>
        <v/>
      </c>
      <c r="Q116" s="13" t="str">
        <f t="shared" si="16"/>
        <v/>
      </c>
      <c r="R116" s="13" t="str">
        <f t="shared" si="17"/>
        <v/>
      </c>
      <c r="S116" s="16" t="str">
        <f t="shared" si="18"/>
        <v/>
      </c>
      <c r="T116" s="13" t="str">
        <f t="shared" si="19"/>
        <v/>
      </c>
      <c r="U116" s="4"/>
      <c r="V116" s="4"/>
    </row>
    <row r="117" spans="1:22" x14ac:dyDescent="0.25">
      <c r="A117" s="17" t="s">
        <v>40</v>
      </c>
      <c r="B117" s="15" t="s">
        <v>136</v>
      </c>
      <c r="C117" s="15" t="s">
        <v>50</v>
      </c>
      <c r="D117" s="3" t="s">
        <v>42</v>
      </c>
      <c r="E117" s="12" t="s">
        <v>190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3" t="str">
        <f t="shared" si="15"/>
        <v/>
      </c>
      <c r="Q117" s="13" t="str">
        <f t="shared" si="16"/>
        <v/>
      </c>
      <c r="R117" s="13" t="str">
        <f t="shared" si="17"/>
        <v/>
      </c>
      <c r="S117" s="16" t="str">
        <f t="shared" si="18"/>
        <v/>
      </c>
      <c r="T117" s="13" t="str">
        <f t="shared" si="19"/>
        <v/>
      </c>
      <c r="U117" s="4"/>
      <c r="V117" s="4"/>
    </row>
    <row r="118" spans="1:22" x14ac:dyDescent="0.25">
      <c r="A118" s="17" t="s">
        <v>40</v>
      </c>
      <c r="B118" s="15" t="s">
        <v>137</v>
      </c>
      <c r="C118" s="15" t="s">
        <v>43</v>
      </c>
      <c r="D118" s="3" t="s">
        <v>49</v>
      </c>
      <c r="E118" s="10" t="s">
        <v>189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3" t="str">
        <f t="shared" si="15"/>
        <v/>
      </c>
      <c r="Q118" s="13" t="str">
        <f t="shared" si="16"/>
        <v/>
      </c>
      <c r="R118" s="13" t="str">
        <f t="shared" si="17"/>
        <v/>
      </c>
      <c r="S118" s="16" t="str">
        <f t="shared" si="18"/>
        <v/>
      </c>
      <c r="T118" s="13" t="str">
        <f t="shared" si="19"/>
        <v/>
      </c>
      <c r="U118" s="4"/>
      <c r="V118" s="4"/>
    </row>
    <row r="119" spans="1:22" x14ac:dyDescent="0.25">
      <c r="A119" s="17" t="s">
        <v>40</v>
      </c>
      <c r="B119" s="15" t="s">
        <v>137</v>
      </c>
      <c r="C119" s="15" t="s">
        <v>49</v>
      </c>
      <c r="D119" s="3" t="s">
        <v>43</v>
      </c>
      <c r="E119" s="12" t="s">
        <v>190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3" t="str">
        <f t="shared" si="15"/>
        <v/>
      </c>
      <c r="Q119" s="13" t="str">
        <f t="shared" si="16"/>
        <v/>
      </c>
      <c r="R119" s="13" t="str">
        <f t="shared" si="17"/>
        <v/>
      </c>
      <c r="S119" s="16" t="str">
        <f t="shared" si="18"/>
        <v/>
      </c>
      <c r="T119" s="13" t="str">
        <f t="shared" si="19"/>
        <v/>
      </c>
      <c r="U119" s="4"/>
      <c r="V119" s="4"/>
    </row>
    <row r="120" spans="1:22" x14ac:dyDescent="0.25">
      <c r="A120" s="17" t="s">
        <v>40</v>
      </c>
      <c r="B120" s="15" t="s">
        <v>138</v>
      </c>
      <c r="C120" s="15" t="s">
        <v>45</v>
      </c>
      <c r="D120" s="3" t="s">
        <v>47</v>
      </c>
      <c r="E120" s="10" t="s">
        <v>189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3" t="str">
        <f t="shared" si="15"/>
        <v/>
      </c>
      <c r="Q120" s="13" t="str">
        <f t="shared" si="16"/>
        <v/>
      </c>
      <c r="R120" s="13" t="str">
        <f t="shared" si="17"/>
        <v/>
      </c>
      <c r="S120" s="16" t="str">
        <f t="shared" si="18"/>
        <v/>
      </c>
      <c r="T120" s="13" t="str">
        <f t="shared" si="19"/>
        <v/>
      </c>
      <c r="U120" s="4"/>
      <c r="V120" s="4"/>
    </row>
    <row r="121" spans="1:22" x14ac:dyDescent="0.25">
      <c r="A121" s="17" t="s">
        <v>40</v>
      </c>
      <c r="B121" s="15" t="s">
        <v>138</v>
      </c>
      <c r="C121" s="15" t="s">
        <v>47</v>
      </c>
      <c r="D121" s="3" t="s">
        <v>45</v>
      </c>
      <c r="E121" s="12" t="s">
        <v>190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3" t="str">
        <f t="shared" si="15"/>
        <v/>
      </c>
      <c r="Q121" s="13" t="str">
        <f t="shared" si="16"/>
        <v/>
      </c>
      <c r="R121" s="13" t="str">
        <f t="shared" si="17"/>
        <v/>
      </c>
      <c r="S121" s="16" t="str">
        <f t="shared" si="18"/>
        <v/>
      </c>
      <c r="T121" s="13" t="str">
        <f t="shared" si="19"/>
        <v/>
      </c>
      <c r="U121" s="4"/>
      <c r="V121" s="4"/>
    </row>
    <row r="122" spans="1:22" x14ac:dyDescent="0.25">
      <c r="A122" s="17" t="s">
        <v>40</v>
      </c>
      <c r="B122" s="15" t="s">
        <v>139</v>
      </c>
      <c r="C122" s="15" t="s">
        <v>48</v>
      </c>
      <c r="D122" s="3" t="s">
        <v>41</v>
      </c>
      <c r="E122" s="10" t="s">
        <v>189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3" t="str">
        <f t="shared" si="15"/>
        <v/>
      </c>
      <c r="Q122" s="13" t="str">
        <f t="shared" si="16"/>
        <v/>
      </c>
      <c r="R122" s="13" t="str">
        <f t="shared" si="17"/>
        <v/>
      </c>
      <c r="S122" s="16" t="str">
        <f t="shared" si="18"/>
        <v/>
      </c>
      <c r="T122" s="13" t="str">
        <f t="shared" si="19"/>
        <v/>
      </c>
      <c r="U122" s="4"/>
      <c r="V122" s="4"/>
    </row>
    <row r="123" spans="1:22" x14ac:dyDescent="0.25">
      <c r="A123" s="17" t="s">
        <v>40</v>
      </c>
      <c r="B123" s="15" t="s">
        <v>139</v>
      </c>
      <c r="C123" s="15" t="s">
        <v>41</v>
      </c>
      <c r="D123" s="3" t="s">
        <v>48</v>
      </c>
      <c r="E123" s="12" t="s">
        <v>190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3" t="str">
        <f t="shared" si="15"/>
        <v/>
      </c>
      <c r="Q123" s="13" t="str">
        <f t="shared" si="16"/>
        <v/>
      </c>
      <c r="R123" s="13" t="str">
        <f t="shared" si="17"/>
        <v/>
      </c>
      <c r="S123" s="16" t="str">
        <f t="shared" si="18"/>
        <v/>
      </c>
      <c r="T123" s="13" t="str">
        <f t="shared" si="19"/>
        <v/>
      </c>
      <c r="U123" s="4"/>
      <c r="V123" s="4"/>
    </row>
    <row r="124" spans="1:22" x14ac:dyDescent="0.25">
      <c r="A124" s="17" t="s">
        <v>40</v>
      </c>
      <c r="B124" s="15" t="s">
        <v>140</v>
      </c>
      <c r="C124" s="15" t="s">
        <v>46</v>
      </c>
      <c r="D124" s="3" t="s">
        <v>50</v>
      </c>
      <c r="E124" s="10" t="s">
        <v>189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3" t="str">
        <f t="shared" si="15"/>
        <v/>
      </c>
      <c r="Q124" s="13" t="str">
        <f t="shared" si="16"/>
        <v/>
      </c>
      <c r="R124" s="13" t="str">
        <f t="shared" si="17"/>
        <v/>
      </c>
      <c r="S124" s="16" t="str">
        <f t="shared" si="18"/>
        <v/>
      </c>
      <c r="T124" s="13" t="str">
        <f t="shared" si="19"/>
        <v/>
      </c>
      <c r="U124" s="4"/>
      <c r="V124" s="4"/>
    </row>
    <row r="125" spans="1:22" x14ac:dyDescent="0.25">
      <c r="A125" s="17" t="s">
        <v>40</v>
      </c>
      <c r="B125" s="15" t="s">
        <v>140</v>
      </c>
      <c r="C125" s="15" t="s">
        <v>50</v>
      </c>
      <c r="D125" s="3" t="s">
        <v>46</v>
      </c>
      <c r="E125" s="12" t="s">
        <v>190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3" t="str">
        <f t="shared" si="15"/>
        <v/>
      </c>
      <c r="Q125" s="13" t="str">
        <f t="shared" si="16"/>
        <v/>
      </c>
      <c r="R125" s="13" t="str">
        <f t="shared" si="17"/>
        <v/>
      </c>
      <c r="S125" s="16" t="str">
        <f t="shared" si="18"/>
        <v/>
      </c>
      <c r="T125" s="13" t="str">
        <f t="shared" si="19"/>
        <v/>
      </c>
      <c r="U125" s="4"/>
      <c r="V125" s="4"/>
    </row>
    <row r="126" spans="1:22" x14ac:dyDescent="0.25">
      <c r="A126" s="17" t="s">
        <v>40</v>
      </c>
      <c r="B126" s="15" t="s">
        <v>141</v>
      </c>
      <c r="C126" s="15" t="s">
        <v>44</v>
      </c>
      <c r="D126" s="3" t="s">
        <v>49</v>
      </c>
      <c r="E126" s="10" t="s">
        <v>189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3" t="str">
        <f t="shared" si="15"/>
        <v/>
      </c>
      <c r="Q126" s="13" t="str">
        <f t="shared" si="16"/>
        <v/>
      </c>
      <c r="R126" s="13" t="str">
        <f t="shared" si="17"/>
        <v/>
      </c>
      <c r="S126" s="16" t="str">
        <f t="shared" si="18"/>
        <v/>
      </c>
      <c r="T126" s="13" t="str">
        <f t="shared" si="19"/>
        <v/>
      </c>
      <c r="U126" s="4"/>
      <c r="V126" s="4"/>
    </row>
    <row r="127" spans="1:22" x14ac:dyDescent="0.25">
      <c r="A127" s="17" t="s">
        <v>40</v>
      </c>
      <c r="B127" s="15" t="s">
        <v>141</v>
      </c>
      <c r="C127" s="15" t="s">
        <v>49</v>
      </c>
      <c r="D127" s="3" t="s">
        <v>44</v>
      </c>
      <c r="E127" s="12" t="s">
        <v>190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3" t="str">
        <f t="shared" si="15"/>
        <v/>
      </c>
      <c r="Q127" s="13" t="str">
        <f t="shared" si="16"/>
        <v/>
      </c>
      <c r="R127" s="13" t="str">
        <f t="shared" si="17"/>
        <v/>
      </c>
      <c r="S127" s="16" t="str">
        <f t="shared" si="18"/>
        <v/>
      </c>
      <c r="T127" s="13" t="str">
        <f t="shared" si="19"/>
        <v/>
      </c>
      <c r="U127" s="4"/>
      <c r="V127" s="4"/>
    </row>
    <row r="128" spans="1:22" x14ac:dyDescent="0.25">
      <c r="A128" s="17" t="s">
        <v>40</v>
      </c>
      <c r="B128" s="15" t="s">
        <v>142</v>
      </c>
      <c r="C128" s="15" t="s">
        <v>42</v>
      </c>
      <c r="D128" s="3" t="s">
        <v>47</v>
      </c>
      <c r="E128" s="10" t="s">
        <v>189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3" t="str">
        <f t="shared" si="15"/>
        <v/>
      </c>
      <c r="Q128" s="13" t="str">
        <f t="shared" si="16"/>
        <v/>
      </c>
      <c r="R128" s="13" t="str">
        <f t="shared" si="17"/>
        <v/>
      </c>
      <c r="S128" s="16" t="str">
        <f t="shared" si="18"/>
        <v/>
      </c>
      <c r="T128" s="13" t="str">
        <f t="shared" si="19"/>
        <v/>
      </c>
      <c r="U128" s="4"/>
      <c r="V128" s="4"/>
    </row>
    <row r="129" spans="1:22" x14ac:dyDescent="0.25">
      <c r="A129" s="17" t="s">
        <v>40</v>
      </c>
      <c r="B129" s="15" t="s">
        <v>142</v>
      </c>
      <c r="C129" s="15" t="s">
        <v>47</v>
      </c>
      <c r="D129" s="3" t="s">
        <v>42</v>
      </c>
      <c r="E129" s="12" t="s">
        <v>190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3" t="str">
        <f t="shared" si="15"/>
        <v/>
      </c>
      <c r="Q129" s="13" t="str">
        <f t="shared" si="16"/>
        <v/>
      </c>
      <c r="R129" s="13" t="str">
        <f t="shared" si="17"/>
        <v/>
      </c>
      <c r="S129" s="16" t="str">
        <f t="shared" si="18"/>
        <v/>
      </c>
      <c r="T129" s="13" t="str">
        <f t="shared" si="19"/>
        <v/>
      </c>
      <c r="U129" s="4"/>
      <c r="V129" s="4"/>
    </row>
    <row r="130" spans="1:22" x14ac:dyDescent="0.25">
      <c r="A130" s="17" t="s">
        <v>40</v>
      </c>
      <c r="B130" s="15" t="s">
        <v>143</v>
      </c>
      <c r="C130" s="15" t="s">
        <v>43</v>
      </c>
      <c r="D130" s="3" t="s">
        <v>45</v>
      </c>
      <c r="E130" s="10" t="s">
        <v>189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3" t="str">
        <f t="shared" ref="P130:P161" si="20">IF(COUNT($F130:$I130)=0,"",$F130*3+$G130*3+$H130+$I130*2)</f>
        <v/>
      </c>
      <c r="Q130" s="13" t="str">
        <f t="shared" ref="Q130:Q161" si="21">IF(COUNT($J130:$M130)=0,"",$J130*3+$K130+$L130+$M130*2)</f>
        <v/>
      </c>
      <c r="R130" s="13" t="str">
        <f t="shared" ref="R130:R161" si="22">IF(COUNT($N130:$O130)=0,"",$N130*5+$O130*10+IF($O130=2,10,0))</f>
        <v/>
      </c>
      <c r="S130" s="16" t="str">
        <f t="shared" ref="S130:S161" si="23">IF(COUNT($F130:$O130)=0,"",SUM($P130:$R130))</f>
        <v/>
      </c>
      <c r="T130" s="13" t="str">
        <f t="shared" ref="T130:T161" si="24">IF(COUNT($G130,$H130,$J130,$K130)=0,"",SUM($G130,$H130,$J130,$K130))</f>
        <v/>
      </c>
      <c r="U130" s="4"/>
      <c r="V130" s="4"/>
    </row>
    <row r="131" spans="1:22" x14ac:dyDescent="0.25">
      <c r="A131" s="17" t="s">
        <v>40</v>
      </c>
      <c r="B131" s="15" t="s">
        <v>143</v>
      </c>
      <c r="C131" s="15" t="s">
        <v>45</v>
      </c>
      <c r="D131" s="3" t="s">
        <v>43</v>
      </c>
      <c r="E131" s="12" t="s">
        <v>190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3" t="str">
        <f t="shared" si="20"/>
        <v/>
      </c>
      <c r="Q131" s="13" t="str">
        <f t="shared" si="21"/>
        <v/>
      </c>
      <c r="R131" s="13" t="str">
        <f t="shared" si="22"/>
        <v/>
      </c>
      <c r="S131" s="16" t="str">
        <f t="shared" si="23"/>
        <v/>
      </c>
      <c r="T131" s="13" t="str">
        <f t="shared" si="24"/>
        <v/>
      </c>
      <c r="U131" s="4"/>
      <c r="V131" s="4"/>
    </row>
    <row r="132" spans="1:22" x14ac:dyDescent="0.25">
      <c r="A132" s="17" t="s">
        <v>40</v>
      </c>
      <c r="B132" s="15" t="s">
        <v>144</v>
      </c>
      <c r="C132" s="15" t="s">
        <v>41</v>
      </c>
      <c r="D132" s="3" t="s">
        <v>50</v>
      </c>
      <c r="E132" s="10" t="s">
        <v>189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3" t="str">
        <f t="shared" si="20"/>
        <v/>
      </c>
      <c r="Q132" s="13" t="str">
        <f t="shared" si="21"/>
        <v/>
      </c>
      <c r="R132" s="13" t="str">
        <f t="shared" si="22"/>
        <v/>
      </c>
      <c r="S132" s="16" t="str">
        <f t="shared" si="23"/>
        <v/>
      </c>
      <c r="T132" s="13" t="str">
        <f t="shared" si="24"/>
        <v/>
      </c>
      <c r="U132" s="4"/>
      <c r="V132" s="4"/>
    </row>
    <row r="133" spans="1:22" x14ac:dyDescent="0.25">
      <c r="A133" s="17" t="s">
        <v>40</v>
      </c>
      <c r="B133" s="15" t="s">
        <v>144</v>
      </c>
      <c r="C133" s="15" t="s">
        <v>50</v>
      </c>
      <c r="D133" s="3" t="s">
        <v>41</v>
      </c>
      <c r="E133" s="12" t="s">
        <v>190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3" t="str">
        <f t="shared" si="20"/>
        <v/>
      </c>
      <c r="Q133" s="13" t="str">
        <f t="shared" si="21"/>
        <v/>
      </c>
      <c r="R133" s="13" t="str">
        <f t="shared" si="22"/>
        <v/>
      </c>
      <c r="S133" s="16" t="str">
        <f t="shared" si="23"/>
        <v/>
      </c>
      <c r="T133" s="13" t="str">
        <f t="shared" si="24"/>
        <v/>
      </c>
      <c r="U133" s="4"/>
      <c r="V133" s="4"/>
    </row>
    <row r="134" spans="1:22" x14ac:dyDescent="0.25">
      <c r="A134" s="17" t="s">
        <v>40</v>
      </c>
      <c r="B134" s="15" t="s">
        <v>145</v>
      </c>
      <c r="C134" s="15" t="s">
        <v>48</v>
      </c>
      <c r="D134" s="3" t="s">
        <v>49</v>
      </c>
      <c r="E134" s="10" t="s">
        <v>189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3" t="str">
        <f t="shared" si="20"/>
        <v/>
      </c>
      <c r="Q134" s="13" t="str">
        <f t="shared" si="21"/>
        <v/>
      </c>
      <c r="R134" s="13" t="str">
        <f t="shared" si="22"/>
        <v/>
      </c>
      <c r="S134" s="16" t="str">
        <f t="shared" si="23"/>
        <v/>
      </c>
      <c r="T134" s="13" t="str">
        <f t="shared" si="24"/>
        <v/>
      </c>
      <c r="U134" s="4"/>
      <c r="V134" s="4"/>
    </row>
    <row r="135" spans="1:22" x14ac:dyDescent="0.25">
      <c r="A135" s="17" t="s">
        <v>40</v>
      </c>
      <c r="B135" s="15" t="s">
        <v>145</v>
      </c>
      <c r="C135" s="15" t="s">
        <v>49</v>
      </c>
      <c r="D135" s="3" t="s">
        <v>48</v>
      </c>
      <c r="E135" s="12" t="s">
        <v>190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3" t="str">
        <f t="shared" si="20"/>
        <v/>
      </c>
      <c r="Q135" s="13" t="str">
        <f t="shared" si="21"/>
        <v/>
      </c>
      <c r="R135" s="13" t="str">
        <f t="shared" si="22"/>
        <v/>
      </c>
      <c r="S135" s="16" t="str">
        <f t="shared" si="23"/>
        <v/>
      </c>
      <c r="T135" s="13" t="str">
        <f t="shared" si="24"/>
        <v/>
      </c>
      <c r="U135" s="4"/>
      <c r="V135" s="4"/>
    </row>
    <row r="136" spans="1:22" x14ac:dyDescent="0.25">
      <c r="A136" s="17" t="s">
        <v>40</v>
      </c>
      <c r="B136" s="15" t="s">
        <v>146</v>
      </c>
      <c r="C136" s="15" t="s">
        <v>46</v>
      </c>
      <c r="D136" s="3" t="s">
        <v>47</v>
      </c>
      <c r="E136" s="10" t="s">
        <v>189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3" t="str">
        <f t="shared" si="20"/>
        <v/>
      </c>
      <c r="Q136" s="13" t="str">
        <f t="shared" si="21"/>
        <v/>
      </c>
      <c r="R136" s="13" t="str">
        <f t="shared" si="22"/>
        <v/>
      </c>
      <c r="S136" s="16" t="str">
        <f t="shared" si="23"/>
        <v/>
      </c>
      <c r="T136" s="13" t="str">
        <f t="shared" si="24"/>
        <v/>
      </c>
      <c r="U136" s="4"/>
      <c r="V136" s="4"/>
    </row>
    <row r="137" spans="1:22" x14ac:dyDescent="0.25">
      <c r="A137" s="17" t="s">
        <v>40</v>
      </c>
      <c r="B137" s="15" t="s">
        <v>146</v>
      </c>
      <c r="C137" s="15" t="s">
        <v>47</v>
      </c>
      <c r="D137" s="3" t="s">
        <v>46</v>
      </c>
      <c r="E137" s="12" t="s">
        <v>190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3" t="str">
        <f t="shared" si="20"/>
        <v/>
      </c>
      <c r="Q137" s="13" t="str">
        <f t="shared" si="21"/>
        <v/>
      </c>
      <c r="R137" s="13" t="str">
        <f t="shared" si="22"/>
        <v/>
      </c>
      <c r="S137" s="16" t="str">
        <f t="shared" si="23"/>
        <v/>
      </c>
      <c r="T137" s="13" t="str">
        <f t="shared" si="24"/>
        <v/>
      </c>
      <c r="U137" s="4"/>
      <c r="V137" s="4"/>
    </row>
    <row r="138" spans="1:22" x14ac:dyDescent="0.25">
      <c r="A138" s="17" t="s">
        <v>40</v>
      </c>
      <c r="B138" s="15" t="s">
        <v>147</v>
      </c>
      <c r="C138" s="15" t="s">
        <v>44</v>
      </c>
      <c r="D138" s="3" t="s">
        <v>45</v>
      </c>
      <c r="E138" s="10" t="s">
        <v>189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3" t="str">
        <f t="shared" si="20"/>
        <v/>
      </c>
      <c r="Q138" s="13" t="str">
        <f t="shared" si="21"/>
        <v/>
      </c>
      <c r="R138" s="13" t="str">
        <f t="shared" si="22"/>
        <v/>
      </c>
      <c r="S138" s="16" t="str">
        <f t="shared" si="23"/>
        <v/>
      </c>
      <c r="T138" s="13" t="str">
        <f t="shared" si="24"/>
        <v/>
      </c>
      <c r="U138" s="4"/>
      <c r="V138" s="4"/>
    </row>
    <row r="139" spans="1:22" x14ac:dyDescent="0.25">
      <c r="A139" s="17" t="s">
        <v>40</v>
      </c>
      <c r="B139" s="15" t="s">
        <v>147</v>
      </c>
      <c r="C139" s="15" t="s">
        <v>45</v>
      </c>
      <c r="D139" s="3" t="s">
        <v>44</v>
      </c>
      <c r="E139" s="12" t="s">
        <v>190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3" t="str">
        <f t="shared" si="20"/>
        <v/>
      </c>
      <c r="Q139" s="13" t="str">
        <f t="shared" si="21"/>
        <v/>
      </c>
      <c r="R139" s="13" t="str">
        <f t="shared" si="22"/>
        <v/>
      </c>
      <c r="S139" s="16" t="str">
        <f t="shared" si="23"/>
        <v/>
      </c>
      <c r="T139" s="13" t="str">
        <f t="shared" si="24"/>
        <v/>
      </c>
      <c r="U139" s="4"/>
      <c r="V139" s="4"/>
    </row>
    <row r="140" spans="1:22" x14ac:dyDescent="0.25">
      <c r="A140" s="17" t="s">
        <v>40</v>
      </c>
      <c r="B140" s="15" t="s">
        <v>148</v>
      </c>
      <c r="C140" s="15" t="s">
        <v>42</v>
      </c>
      <c r="D140" s="3" t="s">
        <v>43</v>
      </c>
      <c r="E140" s="10" t="s">
        <v>189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3" t="str">
        <f t="shared" si="20"/>
        <v/>
      </c>
      <c r="Q140" s="13" t="str">
        <f t="shared" si="21"/>
        <v/>
      </c>
      <c r="R140" s="13" t="str">
        <f t="shared" si="22"/>
        <v/>
      </c>
      <c r="S140" s="16" t="str">
        <f t="shared" si="23"/>
        <v/>
      </c>
      <c r="T140" s="13" t="str">
        <f t="shared" si="24"/>
        <v/>
      </c>
      <c r="U140" s="4"/>
      <c r="V140" s="4"/>
    </row>
    <row r="141" spans="1:22" x14ac:dyDescent="0.25">
      <c r="A141" s="17" t="s">
        <v>40</v>
      </c>
      <c r="B141" s="15" t="s">
        <v>148</v>
      </c>
      <c r="C141" s="15" t="s">
        <v>43</v>
      </c>
      <c r="D141" s="3" t="s">
        <v>42</v>
      </c>
      <c r="E141" s="12" t="s">
        <v>190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3" t="str">
        <f t="shared" si="20"/>
        <v/>
      </c>
      <c r="Q141" s="13" t="str">
        <f t="shared" si="21"/>
        <v/>
      </c>
      <c r="R141" s="13" t="str">
        <f t="shared" si="22"/>
        <v/>
      </c>
      <c r="S141" s="16" t="str">
        <f t="shared" si="23"/>
        <v/>
      </c>
      <c r="T141" s="13" t="str">
        <f t="shared" si="24"/>
        <v/>
      </c>
      <c r="U141" s="4"/>
      <c r="V141" s="4"/>
    </row>
    <row r="142" spans="1:22" x14ac:dyDescent="0.25">
      <c r="A142" s="17" t="s">
        <v>40</v>
      </c>
      <c r="B142" s="15" t="s">
        <v>149</v>
      </c>
      <c r="C142" s="15" t="s">
        <v>49</v>
      </c>
      <c r="D142" s="3" t="s">
        <v>41</v>
      </c>
      <c r="E142" s="10" t="s">
        <v>189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3" t="str">
        <f t="shared" si="20"/>
        <v/>
      </c>
      <c r="Q142" s="13" t="str">
        <f t="shared" si="21"/>
        <v/>
      </c>
      <c r="R142" s="13" t="str">
        <f t="shared" si="22"/>
        <v/>
      </c>
      <c r="S142" s="16" t="str">
        <f t="shared" si="23"/>
        <v/>
      </c>
      <c r="T142" s="13" t="str">
        <f t="shared" si="24"/>
        <v/>
      </c>
      <c r="U142" s="4"/>
      <c r="V142" s="4"/>
    </row>
    <row r="143" spans="1:22" x14ac:dyDescent="0.25">
      <c r="A143" s="17" t="s">
        <v>40</v>
      </c>
      <c r="B143" s="15" t="s">
        <v>149</v>
      </c>
      <c r="C143" s="15" t="s">
        <v>41</v>
      </c>
      <c r="D143" s="3" t="s">
        <v>49</v>
      </c>
      <c r="E143" s="12" t="s">
        <v>190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3" t="str">
        <f t="shared" si="20"/>
        <v/>
      </c>
      <c r="Q143" s="13" t="str">
        <f t="shared" si="21"/>
        <v/>
      </c>
      <c r="R143" s="13" t="str">
        <f t="shared" si="22"/>
        <v/>
      </c>
      <c r="S143" s="16" t="str">
        <f t="shared" si="23"/>
        <v/>
      </c>
      <c r="T143" s="13" t="str">
        <f t="shared" si="24"/>
        <v/>
      </c>
      <c r="U143" s="4"/>
      <c r="V143" s="4"/>
    </row>
    <row r="144" spans="1:22" x14ac:dyDescent="0.25">
      <c r="A144" s="17" t="s">
        <v>40</v>
      </c>
      <c r="B144" s="15" t="s">
        <v>150</v>
      </c>
      <c r="C144" s="15" t="s">
        <v>50</v>
      </c>
      <c r="D144" s="3" t="s">
        <v>47</v>
      </c>
      <c r="E144" s="10" t="s">
        <v>189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3" t="str">
        <f t="shared" si="20"/>
        <v/>
      </c>
      <c r="Q144" s="13" t="str">
        <f t="shared" si="21"/>
        <v/>
      </c>
      <c r="R144" s="13" t="str">
        <f t="shared" si="22"/>
        <v/>
      </c>
      <c r="S144" s="16" t="str">
        <f t="shared" si="23"/>
        <v/>
      </c>
      <c r="T144" s="13" t="str">
        <f t="shared" si="24"/>
        <v/>
      </c>
      <c r="U144" s="4"/>
      <c r="V144" s="4"/>
    </row>
    <row r="145" spans="1:22" x14ac:dyDescent="0.25">
      <c r="A145" s="17" t="s">
        <v>40</v>
      </c>
      <c r="B145" s="15" t="s">
        <v>150</v>
      </c>
      <c r="C145" s="15" t="s">
        <v>47</v>
      </c>
      <c r="D145" s="3" t="s">
        <v>50</v>
      </c>
      <c r="E145" s="12" t="s">
        <v>190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3" t="str">
        <f t="shared" si="20"/>
        <v/>
      </c>
      <c r="Q145" s="13" t="str">
        <f t="shared" si="21"/>
        <v/>
      </c>
      <c r="R145" s="13" t="str">
        <f t="shared" si="22"/>
        <v/>
      </c>
      <c r="S145" s="16" t="str">
        <f t="shared" si="23"/>
        <v/>
      </c>
      <c r="T145" s="13" t="str">
        <f t="shared" si="24"/>
        <v/>
      </c>
      <c r="U145" s="4"/>
      <c r="V145" s="4"/>
    </row>
    <row r="146" spans="1:22" x14ac:dyDescent="0.25">
      <c r="A146" s="17" t="s">
        <v>40</v>
      </c>
      <c r="B146" s="15" t="s">
        <v>151</v>
      </c>
      <c r="C146" s="15" t="s">
        <v>48</v>
      </c>
      <c r="D146" s="3" t="s">
        <v>45</v>
      </c>
      <c r="E146" s="10" t="s">
        <v>189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3" t="str">
        <f t="shared" si="20"/>
        <v/>
      </c>
      <c r="Q146" s="13" t="str">
        <f t="shared" si="21"/>
        <v/>
      </c>
      <c r="R146" s="13" t="str">
        <f t="shared" si="22"/>
        <v/>
      </c>
      <c r="S146" s="16" t="str">
        <f t="shared" si="23"/>
        <v/>
      </c>
      <c r="T146" s="13" t="str">
        <f t="shared" si="24"/>
        <v/>
      </c>
      <c r="U146" s="4"/>
      <c r="V146" s="4"/>
    </row>
    <row r="147" spans="1:22" x14ac:dyDescent="0.25">
      <c r="A147" s="17" t="s">
        <v>40</v>
      </c>
      <c r="B147" s="15" t="s">
        <v>151</v>
      </c>
      <c r="C147" s="15" t="s">
        <v>45</v>
      </c>
      <c r="D147" s="3" t="s">
        <v>48</v>
      </c>
      <c r="E147" s="12" t="s">
        <v>190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13" t="str">
        <f t="shared" si="20"/>
        <v/>
      </c>
      <c r="Q147" s="13" t="str">
        <f t="shared" si="21"/>
        <v/>
      </c>
      <c r="R147" s="13" t="str">
        <f t="shared" si="22"/>
        <v/>
      </c>
      <c r="S147" s="16" t="str">
        <f t="shared" si="23"/>
        <v/>
      </c>
      <c r="T147" s="13" t="str">
        <f t="shared" si="24"/>
        <v/>
      </c>
      <c r="U147" s="4"/>
      <c r="V147" s="4"/>
    </row>
    <row r="148" spans="1:22" x14ac:dyDescent="0.25">
      <c r="A148" s="17" t="s">
        <v>40</v>
      </c>
      <c r="B148" s="15" t="s">
        <v>152</v>
      </c>
      <c r="C148" s="15" t="s">
        <v>46</v>
      </c>
      <c r="D148" s="3" t="s">
        <v>43</v>
      </c>
      <c r="E148" s="10" t="s">
        <v>189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3" t="str">
        <f t="shared" si="20"/>
        <v/>
      </c>
      <c r="Q148" s="13" t="str">
        <f t="shared" si="21"/>
        <v/>
      </c>
      <c r="R148" s="13" t="str">
        <f t="shared" si="22"/>
        <v/>
      </c>
      <c r="S148" s="16" t="str">
        <f t="shared" si="23"/>
        <v/>
      </c>
      <c r="T148" s="13" t="str">
        <f t="shared" si="24"/>
        <v/>
      </c>
      <c r="U148" s="4"/>
      <c r="V148" s="4"/>
    </row>
    <row r="149" spans="1:22" x14ac:dyDescent="0.25">
      <c r="A149" s="17" t="s">
        <v>40</v>
      </c>
      <c r="B149" s="15" t="s">
        <v>152</v>
      </c>
      <c r="C149" s="15" t="s">
        <v>43</v>
      </c>
      <c r="D149" s="3" t="s">
        <v>46</v>
      </c>
      <c r="E149" s="12" t="s">
        <v>190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3" t="str">
        <f t="shared" si="20"/>
        <v/>
      </c>
      <c r="Q149" s="13" t="str">
        <f t="shared" si="21"/>
        <v/>
      </c>
      <c r="R149" s="13" t="str">
        <f t="shared" si="22"/>
        <v/>
      </c>
      <c r="S149" s="16" t="str">
        <f t="shared" si="23"/>
        <v/>
      </c>
      <c r="T149" s="13" t="str">
        <f t="shared" si="24"/>
        <v/>
      </c>
      <c r="U149" s="4"/>
      <c r="V149" s="4"/>
    </row>
    <row r="150" spans="1:22" x14ac:dyDescent="0.25">
      <c r="A150" s="17" t="s">
        <v>40</v>
      </c>
      <c r="B150" s="15" t="s">
        <v>153</v>
      </c>
      <c r="C150" s="15" t="s">
        <v>44</v>
      </c>
      <c r="D150" s="3" t="s">
        <v>42</v>
      </c>
      <c r="E150" s="10" t="s">
        <v>189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3" t="str">
        <f t="shared" si="20"/>
        <v/>
      </c>
      <c r="Q150" s="13" t="str">
        <f t="shared" si="21"/>
        <v/>
      </c>
      <c r="R150" s="13" t="str">
        <f t="shared" si="22"/>
        <v/>
      </c>
      <c r="S150" s="16" t="str">
        <f t="shared" si="23"/>
        <v/>
      </c>
      <c r="T150" s="13" t="str">
        <f t="shared" si="24"/>
        <v/>
      </c>
      <c r="U150" s="4"/>
      <c r="V150" s="4"/>
    </row>
    <row r="151" spans="1:22" x14ac:dyDescent="0.25">
      <c r="A151" s="17" t="s">
        <v>40</v>
      </c>
      <c r="B151" s="15" t="s">
        <v>153</v>
      </c>
      <c r="C151" s="15" t="s">
        <v>42</v>
      </c>
      <c r="D151" s="3" t="s">
        <v>44</v>
      </c>
      <c r="E151" s="12" t="s">
        <v>190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3" t="str">
        <f t="shared" si="20"/>
        <v/>
      </c>
      <c r="Q151" s="13" t="str">
        <f t="shared" si="21"/>
        <v/>
      </c>
      <c r="R151" s="13" t="str">
        <f t="shared" si="22"/>
        <v/>
      </c>
      <c r="S151" s="16" t="str">
        <f t="shared" si="23"/>
        <v/>
      </c>
      <c r="T151" s="13" t="str">
        <f t="shared" si="24"/>
        <v/>
      </c>
      <c r="U151" s="4"/>
      <c r="V151" s="4"/>
    </row>
    <row r="152" spans="1:22" x14ac:dyDescent="0.25">
      <c r="A152" s="17" t="s">
        <v>40</v>
      </c>
      <c r="B152" s="15" t="s">
        <v>154</v>
      </c>
      <c r="C152" s="15" t="s">
        <v>41</v>
      </c>
      <c r="D152" s="3" t="s">
        <v>47</v>
      </c>
      <c r="E152" s="10" t="s">
        <v>189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3" t="str">
        <f t="shared" si="20"/>
        <v/>
      </c>
      <c r="Q152" s="13" t="str">
        <f t="shared" si="21"/>
        <v/>
      </c>
      <c r="R152" s="13" t="str">
        <f t="shared" si="22"/>
        <v/>
      </c>
      <c r="S152" s="16" t="str">
        <f t="shared" si="23"/>
        <v/>
      </c>
      <c r="T152" s="13" t="str">
        <f t="shared" si="24"/>
        <v/>
      </c>
      <c r="U152" s="4"/>
      <c r="V152" s="4"/>
    </row>
    <row r="153" spans="1:22" x14ac:dyDescent="0.25">
      <c r="A153" s="17" t="s">
        <v>40</v>
      </c>
      <c r="B153" s="15" t="s">
        <v>154</v>
      </c>
      <c r="C153" s="15" t="s">
        <v>47</v>
      </c>
      <c r="D153" s="3" t="s">
        <v>41</v>
      </c>
      <c r="E153" s="12" t="s">
        <v>190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3" t="str">
        <f t="shared" si="20"/>
        <v/>
      </c>
      <c r="Q153" s="13" t="str">
        <f t="shared" si="21"/>
        <v/>
      </c>
      <c r="R153" s="13" t="str">
        <f t="shared" si="22"/>
        <v/>
      </c>
      <c r="S153" s="16" t="str">
        <f t="shared" si="23"/>
        <v/>
      </c>
      <c r="T153" s="13" t="str">
        <f t="shared" si="24"/>
        <v/>
      </c>
      <c r="U153" s="4"/>
      <c r="V153" s="4"/>
    </row>
    <row r="154" spans="1:22" x14ac:dyDescent="0.25">
      <c r="A154" s="17" t="s">
        <v>40</v>
      </c>
      <c r="B154" s="15" t="s">
        <v>155</v>
      </c>
      <c r="C154" s="15" t="s">
        <v>49</v>
      </c>
      <c r="D154" s="3" t="s">
        <v>45</v>
      </c>
      <c r="E154" s="10" t="s">
        <v>189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3" t="str">
        <f t="shared" si="20"/>
        <v/>
      </c>
      <c r="Q154" s="13" t="str">
        <f t="shared" si="21"/>
        <v/>
      </c>
      <c r="R154" s="13" t="str">
        <f t="shared" si="22"/>
        <v/>
      </c>
      <c r="S154" s="16" t="str">
        <f t="shared" si="23"/>
        <v/>
      </c>
      <c r="T154" s="13" t="str">
        <f t="shared" si="24"/>
        <v/>
      </c>
      <c r="U154" s="4"/>
      <c r="V154" s="4"/>
    </row>
    <row r="155" spans="1:22" x14ac:dyDescent="0.25">
      <c r="A155" s="17" t="s">
        <v>40</v>
      </c>
      <c r="B155" s="15" t="s">
        <v>155</v>
      </c>
      <c r="C155" s="15" t="s">
        <v>45</v>
      </c>
      <c r="D155" s="3" t="s">
        <v>49</v>
      </c>
      <c r="E155" s="12" t="s">
        <v>190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3" t="str">
        <f t="shared" si="20"/>
        <v/>
      </c>
      <c r="Q155" s="13" t="str">
        <f t="shared" si="21"/>
        <v/>
      </c>
      <c r="R155" s="13" t="str">
        <f t="shared" si="22"/>
        <v/>
      </c>
      <c r="S155" s="16" t="str">
        <f t="shared" si="23"/>
        <v/>
      </c>
      <c r="T155" s="13" t="str">
        <f t="shared" si="24"/>
        <v/>
      </c>
      <c r="U155" s="4"/>
      <c r="V155" s="4"/>
    </row>
    <row r="156" spans="1:22" x14ac:dyDescent="0.25">
      <c r="A156" s="17" t="s">
        <v>40</v>
      </c>
      <c r="B156" s="15" t="s">
        <v>156</v>
      </c>
      <c r="C156" s="15" t="s">
        <v>50</v>
      </c>
      <c r="D156" s="3" t="s">
        <v>43</v>
      </c>
      <c r="E156" s="10" t="s">
        <v>189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3" t="str">
        <f t="shared" si="20"/>
        <v/>
      </c>
      <c r="Q156" s="13" t="str">
        <f t="shared" si="21"/>
        <v/>
      </c>
      <c r="R156" s="13" t="str">
        <f t="shared" si="22"/>
        <v/>
      </c>
      <c r="S156" s="16" t="str">
        <f t="shared" si="23"/>
        <v/>
      </c>
      <c r="T156" s="13" t="str">
        <f t="shared" si="24"/>
        <v/>
      </c>
      <c r="U156" s="4"/>
      <c r="V156" s="4"/>
    </row>
    <row r="157" spans="1:22" x14ac:dyDescent="0.25">
      <c r="A157" s="17" t="s">
        <v>40</v>
      </c>
      <c r="B157" s="15" t="s">
        <v>156</v>
      </c>
      <c r="C157" s="15" t="s">
        <v>43</v>
      </c>
      <c r="D157" s="3" t="s">
        <v>50</v>
      </c>
      <c r="E157" s="12" t="s">
        <v>190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3" t="str">
        <f t="shared" si="20"/>
        <v/>
      </c>
      <c r="Q157" s="13" t="str">
        <f t="shared" si="21"/>
        <v/>
      </c>
      <c r="R157" s="13" t="str">
        <f t="shared" si="22"/>
        <v/>
      </c>
      <c r="S157" s="16" t="str">
        <f t="shared" si="23"/>
        <v/>
      </c>
      <c r="T157" s="13" t="str">
        <f t="shared" si="24"/>
        <v/>
      </c>
      <c r="U157" s="4"/>
      <c r="V157" s="4"/>
    </row>
    <row r="158" spans="1:22" x14ac:dyDescent="0.25">
      <c r="A158" s="17" t="s">
        <v>40</v>
      </c>
      <c r="B158" s="15" t="s">
        <v>157</v>
      </c>
      <c r="C158" s="15" t="s">
        <v>48</v>
      </c>
      <c r="D158" s="3" t="s">
        <v>42</v>
      </c>
      <c r="E158" s="10" t="s">
        <v>189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3" t="str">
        <f t="shared" si="20"/>
        <v/>
      </c>
      <c r="Q158" s="13" t="str">
        <f t="shared" si="21"/>
        <v/>
      </c>
      <c r="R158" s="13" t="str">
        <f t="shared" si="22"/>
        <v/>
      </c>
      <c r="S158" s="16" t="str">
        <f t="shared" si="23"/>
        <v/>
      </c>
      <c r="T158" s="13" t="str">
        <f t="shared" si="24"/>
        <v/>
      </c>
      <c r="U158" s="4"/>
      <c r="V158" s="4"/>
    </row>
    <row r="159" spans="1:22" x14ac:dyDescent="0.25">
      <c r="A159" s="17" t="s">
        <v>40</v>
      </c>
      <c r="B159" s="15" t="s">
        <v>157</v>
      </c>
      <c r="C159" s="15" t="s">
        <v>42</v>
      </c>
      <c r="D159" s="3" t="s">
        <v>48</v>
      </c>
      <c r="E159" s="12" t="s">
        <v>190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3" t="str">
        <f t="shared" si="20"/>
        <v/>
      </c>
      <c r="Q159" s="13" t="str">
        <f t="shared" si="21"/>
        <v/>
      </c>
      <c r="R159" s="13" t="str">
        <f t="shared" si="22"/>
        <v/>
      </c>
      <c r="S159" s="16" t="str">
        <f t="shared" si="23"/>
        <v/>
      </c>
      <c r="T159" s="13" t="str">
        <f t="shared" si="24"/>
        <v/>
      </c>
      <c r="U159" s="4"/>
      <c r="V159" s="4"/>
    </row>
    <row r="160" spans="1:22" x14ac:dyDescent="0.25">
      <c r="A160" s="17" t="s">
        <v>40</v>
      </c>
      <c r="B160" s="15" t="s">
        <v>158</v>
      </c>
      <c r="C160" s="15" t="s">
        <v>46</v>
      </c>
      <c r="D160" s="3" t="s">
        <v>44</v>
      </c>
      <c r="E160" s="10" t="s">
        <v>189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3" t="str">
        <f t="shared" si="20"/>
        <v/>
      </c>
      <c r="Q160" s="13" t="str">
        <f t="shared" si="21"/>
        <v/>
      </c>
      <c r="R160" s="13" t="str">
        <f t="shared" si="22"/>
        <v/>
      </c>
      <c r="S160" s="16" t="str">
        <f t="shared" si="23"/>
        <v/>
      </c>
      <c r="T160" s="13" t="str">
        <f t="shared" si="24"/>
        <v/>
      </c>
      <c r="U160" s="4"/>
      <c r="V160" s="4"/>
    </row>
    <row r="161" spans="1:22" x14ac:dyDescent="0.25">
      <c r="A161" s="17" t="s">
        <v>40</v>
      </c>
      <c r="B161" s="15" t="s">
        <v>158</v>
      </c>
      <c r="C161" s="15" t="s">
        <v>44</v>
      </c>
      <c r="D161" s="3" t="s">
        <v>46</v>
      </c>
      <c r="E161" s="12" t="s">
        <v>190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3" t="str">
        <f t="shared" si="20"/>
        <v/>
      </c>
      <c r="Q161" s="13" t="str">
        <f t="shared" si="21"/>
        <v/>
      </c>
      <c r="R161" s="13" t="str">
        <f t="shared" si="22"/>
        <v/>
      </c>
      <c r="S161" s="16" t="str">
        <f t="shared" si="23"/>
        <v/>
      </c>
      <c r="T161" s="13" t="str">
        <f t="shared" si="24"/>
        <v/>
      </c>
      <c r="U161" s="4"/>
      <c r="V161" s="4"/>
    </row>
    <row r="162" spans="1:22" x14ac:dyDescent="0.25">
      <c r="A162" s="17" t="s">
        <v>40</v>
      </c>
      <c r="B162" s="15" t="s">
        <v>159</v>
      </c>
      <c r="C162" s="15" t="s">
        <v>45</v>
      </c>
      <c r="D162" s="3" t="s">
        <v>41</v>
      </c>
      <c r="E162" s="10" t="s">
        <v>189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3" t="str">
        <f t="shared" ref="P162:P181" si="25">IF(COUNT($F162:$I162)=0,"",$F162*3+$G162*3+$H162+$I162*2)</f>
        <v/>
      </c>
      <c r="Q162" s="13" t="str">
        <f t="shared" ref="Q162:Q181" si="26">IF(COUNT($J162:$M162)=0,"",$J162*3+$K162+$L162+$M162*2)</f>
        <v/>
      </c>
      <c r="R162" s="13" t="str">
        <f t="shared" ref="R162:R181" si="27">IF(COUNT($N162:$O162)=0,"",$N162*5+$O162*10+IF($O162=2,10,0))</f>
        <v/>
      </c>
      <c r="S162" s="16" t="str">
        <f t="shared" ref="S162:S181" si="28">IF(COUNT($F162:$O162)=0,"",SUM($P162:$R162))</f>
        <v/>
      </c>
      <c r="T162" s="13" t="str">
        <f t="shared" ref="T162:T181" si="29">IF(COUNT($G162,$H162,$J162,$K162)=0,"",SUM($G162,$H162,$J162,$K162))</f>
        <v/>
      </c>
      <c r="U162" s="4"/>
      <c r="V162" s="4"/>
    </row>
    <row r="163" spans="1:22" x14ac:dyDescent="0.25">
      <c r="A163" s="17" t="s">
        <v>40</v>
      </c>
      <c r="B163" s="15" t="s">
        <v>159</v>
      </c>
      <c r="C163" s="15" t="s">
        <v>41</v>
      </c>
      <c r="D163" s="3" t="s">
        <v>45</v>
      </c>
      <c r="E163" s="12" t="s">
        <v>190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3" t="str">
        <f t="shared" si="25"/>
        <v/>
      </c>
      <c r="Q163" s="13" t="str">
        <f t="shared" si="26"/>
        <v/>
      </c>
      <c r="R163" s="13" t="str">
        <f t="shared" si="27"/>
        <v/>
      </c>
      <c r="S163" s="16" t="str">
        <f t="shared" si="28"/>
        <v/>
      </c>
      <c r="T163" s="13" t="str">
        <f t="shared" si="29"/>
        <v/>
      </c>
      <c r="U163" s="4"/>
      <c r="V163" s="4"/>
    </row>
    <row r="164" spans="1:22" x14ac:dyDescent="0.25">
      <c r="A164" s="17" t="s">
        <v>40</v>
      </c>
      <c r="B164" s="15" t="s">
        <v>160</v>
      </c>
      <c r="C164" s="15" t="s">
        <v>47</v>
      </c>
      <c r="D164" s="3" t="s">
        <v>43</v>
      </c>
      <c r="E164" s="10" t="s">
        <v>189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3" t="str">
        <f t="shared" si="25"/>
        <v/>
      </c>
      <c r="Q164" s="13" t="str">
        <f t="shared" si="26"/>
        <v/>
      </c>
      <c r="R164" s="13" t="str">
        <f t="shared" si="27"/>
        <v/>
      </c>
      <c r="S164" s="16" t="str">
        <f t="shared" si="28"/>
        <v/>
      </c>
      <c r="T164" s="13" t="str">
        <f t="shared" si="29"/>
        <v/>
      </c>
      <c r="U164" s="4"/>
      <c r="V164" s="4"/>
    </row>
    <row r="165" spans="1:22" x14ac:dyDescent="0.25">
      <c r="A165" s="17" t="s">
        <v>40</v>
      </c>
      <c r="B165" s="15" t="s">
        <v>160</v>
      </c>
      <c r="C165" s="15" t="s">
        <v>43</v>
      </c>
      <c r="D165" s="3" t="s">
        <v>47</v>
      </c>
      <c r="E165" s="12" t="s">
        <v>190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3" t="str">
        <f t="shared" si="25"/>
        <v/>
      </c>
      <c r="Q165" s="13" t="str">
        <f t="shared" si="26"/>
        <v/>
      </c>
      <c r="R165" s="13" t="str">
        <f t="shared" si="27"/>
        <v/>
      </c>
      <c r="S165" s="16" t="str">
        <f t="shared" si="28"/>
        <v/>
      </c>
      <c r="T165" s="13" t="str">
        <f t="shared" si="29"/>
        <v/>
      </c>
      <c r="U165" s="4"/>
      <c r="V165" s="4"/>
    </row>
    <row r="166" spans="1:22" x14ac:dyDescent="0.25">
      <c r="A166" s="17" t="s">
        <v>40</v>
      </c>
      <c r="B166" s="15" t="s">
        <v>161</v>
      </c>
      <c r="C166" s="15" t="s">
        <v>49</v>
      </c>
      <c r="D166" s="3" t="s">
        <v>42</v>
      </c>
      <c r="E166" s="10" t="s">
        <v>189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3" t="str">
        <f t="shared" si="25"/>
        <v/>
      </c>
      <c r="Q166" s="13" t="str">
        <f t="shared" si="26"/>
        <v/>
      </c>
      <c r="R166" s="13" t="str">
        <f t="shared" si="27"/>
        <v/>
      </c>
      <c r="S166" s="16" t="str">
        <f t="shared" si="28"/>
        <v/>
      </c>
      <c r="T166" s="13" t="str">
        <f t="shared" si="29"/>
        <v/>
      </c>
      <c r="U166" s="4"/>
      <c r="V166" s="4"/>
    </row>
    <row r="167" spans="1:22" x14ac:dyDescent="0.25">
      <c r="A167" s="17" t="s">
        <v>40</v>
      </c>
      <c r="B167" s="15" t="s">
        <v>161</v>
      </c>
      <c r="C167" s="15" t="s">
        <v>42</v>
      </c>
      <c r="D167" s="3" t="s">
        <v>49</v>
      </c>
      <c r="E167" s="12" t="s">
        <v>190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3" t="str">
        <f t="shared" si="25"/>
        <v/>
      </c>
      <c r="Q167" s="13" t="str">
        <f t="shared" si="26"/>
        <v/>
      </c>
      <c r="R167" s="13" t="str">
        <f t="shared" si="27"/>
        <v/>
      </c>
      <c r="S167" s="16" t="str">
        <f t="shared" si="28"/>
        <v/>
      </c>
      <c r="T167" s="13" t="str">
        <f t="shared" si="29"/>
        <v/>
      </c>
      <c r="U167" s="4"/>
      <c r="V167" s="4"/>
    </row>
    <row r="168" spans="1:22" x14ac:dyDescent="0.25">
      <c r="A168" s="17" t="s">
        <v>40</v>
      </c>
      <c r="B168" s="15" t="s">
        <v>162</v>
      </c>
      <c r="C168" s="15" t="s">
        <v>50</v>
      </c>
      <c r="D168" s="3" t="s">
        <v>44</v>
      </c>
      <c r="E168" s="10" t="s">
        <v>189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3" t="str">
        <f t="shared" si="25"/>
        <v/>
      </c>
      <c r="Q168" s="13" t="str">
        <f t="shared" si="26"/>
        <v/>
      </c>
      <c r="R168" s="13" t="str">
        <f t="shared" si="27"/>
        <v/>
      </c>
      <c r="S168" s="16" t="str">
        <f t="shared" si="28"/>
        <v/>
      </c>
      <c r="T168" s="13" t="str">
        <f t="shared" si="29"/>
        <v/>
      </c>
      <c r="U168" s="4"/>
      <c r="V168" s="4"/>
    </row>
    <row r="169" spans="1:22" x14ac:dyDescent="0.25">
      <c r="A169" s="17" t="s">
        <v>40</v>
      </c>
      <c r="B169" s="15" t="s">
        <v>162</v>
      </c>
      <c r="C169" s="15" t="s">
        <v>44</v>
      </c>
      <c r="D169" s="3" t="s">
        <v>50</v>
      </c>
      <c r="E169" s="12" t="s">
        <v>190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3" t="str">
        <f t="shared" si="25"/>
        <v/>
      </c>
      <c r="Q169" s="13" t="str">
        <f t="shared" si="26"/>
        <v/>
      </c>
      <c r="R169" s="13" t="str">
        <f t="shared" si="27"/>
        <v/>
      </c>
      <c r="S169" s="16" t="str">
        <f t="shared" si="28"/>
        <v/>
      </c>
      <c r="T169" s="13" t="str">
        <f t="shared" si="29"/>
        <v/>
      </c>
      <c r="U169" s="4"/>
      <c r="V169" s="4"/>
    </row>
    <row r="170" spans="1:22" x14ac:dyDescent="0.25">
      <c r="A170" s="17" t="s">
        <v>40</v>
      </c>
      <c r="B170" s="15" t="s">
        <v>163</v>
      </c>
      <c r="C170" s="15" t="s">
        <v>48</v>
      </c>
      <c r="D170" s="3" t="s">
        <v>46</v>
      </c>
      <c r="E170" s="10" t="s">
        <v>189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3" t="str">
        <f t="shared" si="25"/>
        <v/>
      </c>
      <c r="Q170" s="13" t="str">
        <f t="shared" si="26"/>
        <v/>
      </c>
      <c r="R170" s="13" t="str">
        <f t="shared" si="27"/>
        <v/>
      </c>
      <c r="S170" s="16" t="str">
        <f t="shared" si="28"/>
        <v/>
      </c>
      <c r="T170" s="13" t="str">
        <f t="shared" si="29"/>
        <v/>
      </c>
      <c r="U170" s="4"/>
      <c r="V170" s="4"/>
    </row>
    <row r="171" spans="1:22" x14ac:dyDescent="0.25">
      <c r="A171" s="17" t="s">
        <v>40</v>
      </c>
      <c r="B171" s="15" t="s">
        <v>163</v>
      </c>
      <c r="C171" s="15" t="s">
        <v>46</v>
      </c>
      <c r="D171" s="3" t="s">
        <v>48</v>
      </c>
      <c r="E171" s="12" t="s">
        <v>190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3" t="str">
        <f t="shared" si="25"/>
        <v/>
      </c>
      <c r="Q171" s="13" t="str">
        <f t="shared" si="26"/>
        <v/>
      </c>
      <c r="R171" s="13" t="str">
        <f t="shared" si="27"/>
        <v/>
      </c>
      <c r="S171" s="16" t="str">
        <f t="shared" si="28"/>
        <v/>
      </c>
      <c r="T171" s="13" t="str">
        <f t="shared" si="29"/>
        <v/>
      </c>
      <c r="U171" s="4"/>
      <c r="V171" s="4"/>
    </row>
    <row r="172" spans="1:22" x14ac:dyDescent="0.25">
      <c r="A172" s="17" t="s">
        <v>40</v>
      </c>
      <c r="B172" s="15" t="s">
        <v>164</v>
      </c>
      <c r="C172" s="15" t="s">
        <v>41</v>
      </c>
      <c r="D172" s="3" t="s">
        <v>43</v>
      </c>
      <c r="E172" s="10" t="s">
        <v>189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3" t="str">
        <f t="shared" si="25"/>
        <v/>
      </c>
      <c r="Q172" s="13" t="str">
        <f t="shared" si="26"/>
        <v/>
      </c>
      <c r="R172" s="13" t="str">
        <f t="shared" si="27"/>
        <v/>
      </c>
      <c r="S172" s="16" t="str">
        <f t="shared" si="28"/>
        <v/>
      </c>
      <c r="T172" s="13" t="str">
        <f t="shared" si="29"/>
        <v/>
      </c>
      <c r="U172" s="4"/>
      <c r="V172" s="4"/>
    </row>
    <row r="173" spans="1:22" x14ac:dyDescent="0.25">
      <c r="A173" s="17" t="s">
        <v>40</v>
      </c>
      <c r="B173" s="15" t="s">
        <v>164</v>
      </c>
      <c r="C173" s="15" t="s">
        <v>43</v>
      </c>
      <c r="D173" s="3" t="s">
        <v>41</v>
      </c>
      <c r="E173" s="12" t="s">
        <v>190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3" t="str">
        <f t="shared" si="25"/>
        <v/>
      </c>
      <c r="Q173" s="13" t="str">
        <f t="shared" si="26"/>
        <v/>
      </c>
      <c r="R173" s="13" t="str">
        <f t="shared" si="27"/>
        <v/>
      </c>
      <c r="S173" s="16" t="str">
        <f t="shared" si="28"/>
        <v/>
      </c>
      <c r="T173" s="13" t="str">
        <f t="shared" si="29"/>
        <v/>
      </c>
      <c r="U173" s="4"/>
      <c r="V173" s="4"/>
    </row>
    <row r="174" spans="1:22" x14ac:dyDescent="0.25">
      <c r="A174" s="17" t="s">
        <v>40</v>
      </c>
      <c r="B174" s="15" t="s">
        <v>165</v>
      </c>
      <c r="C174" s="15" t="s">
        <v>45</v>
      </c>
      <c r="D174" s="3" t="s">
        <v>42</v>
      </c>
      <c r="E174" s="10" t="s">
        <v>189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3" t="str">
        <f t="shared" si="25"/>
        <v/>
      </c>
      <c r="Q174" s="13" t="str">
        <f t="shared" si="26"/>
        <v/>
      </c>
      <c r="R174" s="13" t="str">
        <f t="shared" si="27"/>
        <v/>
      </c>
      <c r="S174" s="16" t="str">
        <f t="shared" si="28"/>
        <v/>
      </c>
      <c r="T174" s="13" t="str">
        <f t="shared" si="29"/>
        <v/>
      </c>
      <c r="U174" s="4"/>
      <c r="V174" s="4"/>
    </row>
    <row r="175" spans="1:22" x14ac:dyDescent="0.25">
      <c r="A175" s="17" t="s">
        <v>40</v>
      </c>
      <c r="B175" s="15" t="s">
        <v>165</v>
      </c>
      <c r="C175" s="15" t="s">
        <v>42</v>
      </c>
      <c r="D175" s="3" t="s">
        <v>45</v>
      </c>
      <c r="E175" s="12" t="s">
        <v>190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3" t="str">
        <f t="shared" si="25"/>
        <v/>
      </c>
      <c r="Q175" s="13" t="str">
        <f t="shared" si="26"/>
        <v/>
      </c>
      <c r="R175" s="13" t="str">
        <f t="shared" si="27"/>
        <v/>
      </c>
      <c r="S175" s="16" t="str">
        <f t="shared" si="28"/>
        <v/>
      </c>
      <c r="T175" s="13" t="str">
        <f t="shared" si="29"/>
        <v/>
      </c>
      <c r="U175" s="4"/>
      <c r="V175" s="4"/>
    </row>
    <row r="176" spans="1:22" x14ac:dyDescent="0.25">
      <c r="A176" s="17" t="s">
        <v>40</v>
      </c>
      <c r="B176" s="15" t="s">
        <v>166</v>
      </c>
      <c r="C176" s="15" t="s">
        <v>47</v>
      </c>
      <c r="D176" s="3" t="s">
        <v>44</v>
      </c>
      <c r="E176" s="10" t="s">
        <v>189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3" t="str">
        <f t="shared" si="25"/>
        <v/>
      </c>
      <c r="Q176" s="13" t="str">
        <f t="shared" si="26"/>
        <v/>
      </c>
      <c r="R176" s="13" t="str">
        <f t="shared" si="27"/>
        <v/>
      </c>
      <c r="S176" s="16" t="str">
        <f t="shared" si="28"/>
        <v/>
      </c>
      <c r="T176" s="13" t="str">
        <f t="shared" si="29"/>
        <v/>
      </c>
      <c r="U176" s="4"/>
      <c r="V176" s="4"/>
    </row>
    <row r="177" spans="1:22" x14ac:dyDescent="0.25">
      <c r="A177" s="17" t="s">
        <v>40</v>
      </c>
      <c r="B177" s="15" t="s">
        <v>166</v>
      </c>
      <c r="C177" s="15" t="s">
        <v>44</v>
      </c>
      <c r="D177" s="3" t="s">
        <v>47</v>
      </c>
      <c r="E177" s="12" t="s">
        <v>190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3" t="str">
        <f t="shared" si="25"/>
        <v/>
      </c>
      <c r="Q177" s="13" t="str">
        <f t="shared" si="26"/>
        <v/>
      </c>
      <c r="R177" s="13" t="str">
        <f t="shared" si="27"/>
        <v/>
      </c>
      <c r="S177" s="16" t="str">
        <f t="shared" si="28"/>
        <v/>
      </c>
      <c r="T177" s="13" t="str">
        <f t="shared" si="29"/>
        <v/>
      </c>
      <c r="U177" s="4"/>
      <c r="V177" s="4"/>
    </row>
    <row r="178" spans="1:22" x14ac:dyDescent="0.25">
      <c r="A178" s="17" t="s">
        <v>40</v>
      </c>
      <c r="B178" s="15" t="s">
        <v>167</v>
      </c>
      <c r="C178" s="15" t="s">
        <v>49</v>
      </c>
      <c r="D178" s="3" t="s">
        <v>46</v>
      </c>
      <c r="E178" s="10" t="s">
        <v>189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3" t="str">
        <f t="shared" si="25"/>
        <v/>
      </c>
      <c r="Q178" s="13" t="str">
        <f t="shared" si="26"/>
        <v/>
      </c>
      <c r="R178" s="13" t="str">
        <f t="shared" si="27"/>
        <v/>
      </c>
      <c r="S178" s="16" t="str">
        <f t="shared" si="28"/>
        <v/>
      </c>
      <c r="T178" s="13" t="str">
        <f t="shared" si="29"/>
        <v/>
      </c>
      <c r="U178" s="4"/>
      <c r="V178" s="4"/>
    </row>
    <row r="179" spans="1:22" x14ac:dyDescent="0.25">
      <c r="A179" s="17" t="s">
        <v>40</v>
      </c>
      <c r="B179" s="15" t="s">
        <v>167</v>
      </c>
      <c r="C179" s="15" t="s">
        <v>46</v>
      </c>
      <c r="D179" s="3" t="s">
        <v>49</v>
      </c>
      <c r="E179" s="12" t="s">
        <v>190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3" t="str">
        <f t="shared" si="25"/>
        <v/>
      </c>
      <c r="Q179" s="13" t="str">
        <f t="shared" si="26"/>
        <v/>
      </c>
      <c r="R179" s="13" t="str">
        <f t="shared" si="27"/>
        <v/>
      </c>
      <c r="S179" s="16" t="str">
        <f t="shared" si="28"/>
        <v/>
      </c>
      <c r="T179" s="13" t="str">
        <f t="shared" si="29"/>
        <v/>
      </c>
      <c r="U179" s="4"/>
      <c r="V179" s="4"/>
    </row>
    <row r="180" spans="1:22" x14ac:dyDescent="0.25">
      <c r="A180" s="17" t="s">
        <v>40</v>
      </c>
      <c r="B180" s="15" t="s">
        <v>168</v>
      </c>
      <c r="C180" s="15" t="s">
        <v>50</v>
      </c>
      <c r="D180" s="3" t="s">
        <v>48</v>
      </c>
      <c r="E180" s="10" t="s">
        <v>189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3" t="str">
        <f t="shared" si="25"/>
        <v/>
      </c>
      <c r="Q180" s="13" t="str">
        <f t="shared" si="26"/>
        <v/>
      </c>
      <c r="R180" s="13" t="str">
        <f t="shared" si="27"/>
        <v/>
      </c>
      <c r="S180" s="16" t="str">
        <f t="shared" si="28"/>
        <v/>
      </c>
      <c r="T180" s="13" t="str">
        <f t="shared" si="29"/>
        <v/>
      </c>
      <c r="U180" s="4"/>
      <c r="V180" s="4"/>
    </row>
    <row r="181" spans="1:22" x14ac:dyDescent="0.25">
      <c r="A181" s="17" t="s">
        <v>40</v>
      </c>
      <c r="B181" s="15" t="s">
        <v>168</v>
      </c>
      <c r="C181" s="15" t="s">
        <v>48</v>
      </c>
      <c r="D181" s="3" t="s">
        <v>50</v>
      </c>
      <c r="E181" s="12" t="s">
        <v>190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3" t="str">
        <f t="shared" si="25"/>
        <v/>
      </c>
      <c r="Q181" s="13" t="str">
        <f t="shared" si="26"/>
        <v/>
      </c>
      <c r="R181" s="13" t="str">
        <f t="shared" si="27"/>
        <v/>
      </c>
      <c r="S181" s="16" t="str">
        <f t="shared" si="28"/>
        <v/>
      </c>
      <c r="T181" s="13" t="str">
        <f t="shared" si="29"/>
        <v/>
      </c>
      <c r="U181" s="4"/>
      <c r="V181" s="4"/>
    </row>
  </sheetData>
  <autoFilter ref="A1:V1" xr:uid="{00000000-0009-0000-0000-000004000000}"/>
  <dataValidations count="2">
    <dataValidation type="list" allowBlank="1" sqref="U2:U181" xr:uid="{00000000-0002-0000-0400-000000000000}">
      <formula1>"W,L,T"</formula1>
      <formula2>0</formula2>
    </dataValidation>
    <dataValidation type="list" allowBlank="1" sqref="F2:F181 N2:O181" xr:uid="{00000000-0002-0000-0400-000001000000}">
      <formula1>"0,1,2"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6" sqref="C26"/>
    </sheetView>
  </sheetViews>
  <sheetFormatPr defaultColWidth="8.7109375" defaultRowHeight="15" x14ac:dyDescent="0.25"/>
  <cols>
    <col min="1" max="1" width="11" customWidth="1"/>
    <col min="2" max="2" width="19" customWidth="1"/>
    <col min="3" max="3" width="34" customWidth="1"/>
    <col min="4" max="6" width="12" customWidth="1"/>
    <col min="7" max="7" width="11" customWidth="1"/>
    <col min="8" max="8" width="12" customWidth="1"/>
    <col min="9" max="9" width="11" customWidth="1"/>
    <col min="10" max="10" width="12" customWidth="1"/>
    <col min="11" max="11" width="11" customWidth="1"/>
    <col min="12" max="14" width="6" customWidth="1"/>
  </cols>
  <sheetData>
    <row r="1" spans="1:14" ht="31.5" customHeight="1" x14ac:dyDescent="0.25">
      <c r="A1" s="1" t="s">
        <v>27</v>
      </c>
      <c r="B1" s="1" t="s">
        <v>169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</row>
    <row r="2" spans="1:14" x14ac:dyDescent="0.25">
      <c r="A2" s="2" t="s">
        <v>29</v>
      </c>
      <c r="B2" s="2" t="s">
        <v>30</v>
      </c>
      <c r="C2" s="18" t="s">
        <v>60</v>
      </c>
      <c r="D2" s="13">
        <f>COUNTIFS(Meciuri!$C$2:$C$181,$B2,Meciuri!$S$2:$S$181,"&gt;=0")</f>
        <v>0</v>
      </c>
      <c r="E2" s="13" t="str">
        <f>IF($D2=0,"",SUMIFS(Meciuri!$S$2:$S$181,Meciuri!$C$2:$C$181,$B2))</f>
        <v/>
      </c>
      <c r="F2" s="5" t="str">
        <f t="shared" ref="F2:F21" si="0">IF($D2=0,"",$E2/$D2)</f>
        <v/>
      </c>
      <c r="G2" s="5" t="str">
        <f>IF($D2=0,"",SUMIFS(Meciuri!$P$2:$P$181,Meciuri!$C$2:$C$181,$B2)/$D2)</f>
        <v/>
      </c>
      <c r="H2" s="5" t="str">
        <f>IF($D2=0,"",SUMIFS(Meciuri!$Q$2:$Q$181,Meciuri!$C$2:$C$181,$B2)/$D2)</f>
        <v/>
      </c>
      <c r="I2" s="5" t="str">
        <f>IF($D2=0,"",SUMIFS(Meciuri!$R$2:$R$181,Meciuri!$C$2:$C$181,$B2)/$D2)</f>
        <v/>
      </c>
      <c r="J2" s="5" t="str">
        <f>IF($D2=0,"",SUMIFS(Meciuri!$T$2:$T$181,Meciuri!$C$2:$C$181,$B2)/$D2)</f>
        <v/>
      </c>
      <c r="K2" s="13" t="str">
        <f>IF($D2=0,"",_xlfn.MAXIFS(Meciuri!$S$2:$S$181,Meciuri!$C$2:$C$181,$B2))</f>
        <v/>
      </c>
      <c r="L2" s="13">
        <f>COUNTIFS(Meciuri!$C$2:$C$181,$B2,Meciuri!$U$2:$U$181,"W")</f>
        <v>0</v>
      </c>
      <c r="M2" s="13">
        <f>COUNTIFS(Meciuri!$C$2:$C$181,$B2,Meciuri!$U$2:$U$181,"T")</f>
        <v>0</v>
      </c>
      <c r="N2" s="13">
        <f>COUNTIFS(Meciuri!$C$2:$C$181,$B2,Meciuri!$U$2:$U$181,"L")</f>
        <v>0</v>
      </c>
    </row>
    <row r="3" spans="1:14" x14ac:dyDescent="0.25">
      <c r="A3" s="2" t="s">
        <v>29</v>
      </c>
      <c r="B3" s="2" t="s">
        <v>31</v>
      </c>
      <c r="C3" s="18" t="s">
        <v>61</v>
      </c>
      <c r="D3" s="13">
        <f>COUNTIFS(Meciuri!$C$2:$C$181,$B3,Meciuri!$S$2:$S$181,"&gt;=0")</f>
        <v>0</v>
      </c>
      <c r="E3" s="13" t="str">
        <f>IF($D3=0,"",SUMIFS(Meciuri!$S$2:$S$181,Meciuri!$C$2:$C$181,$B3))</f>
        <v/>
      </c>
      <c r="F3" s="5" t="str">
        <f t="shared" si="0"/>
        <v/>
      </c>
      <c r="G3" s="5" t="str">
        <f>IF($D3=0,"",SUMIFS(Meciuri!$P$2:$P$181,Meciuri!$C$2:$C$181,$B3)/$D3)</f>
        <v/>
      </c>
      <c r="H3" s="5" t="str">
        <f>IF($D3=0,"",SUMIFS(Meciuri!$Q$2:$Q$181,Meciuri!$C$2:$C$181,$B3)/$D3)</f>
        <v/>
      </c>
      <c r="I3" s="5" t="str">
        <f>IF($D3=0,"",SUMIFS(Meciuri!$R$2:$R$181,Meciuri!$C$2:$C$181,$B3)/$D3)</f>
        <v/>
      </c>
      <c r="J3" s="5" t="str">
        <f>IF($D3=0,"",SUMIFS(Meciuri!$T$2:$T$181,Meciuri!$C$2:$C$181,$B3)/$D3)</f>
        <v/>
      </c>
      <c r="K3" s="13" t="str">
        <f>IF($D3=0,"",_xlfn.MAXIFS(Meciuri!$S$2:$S$181,Meciuri!$C$2:$C$181,$B3))</f>
        <v/>
      </c>
      <c r="L3" s="13">
        <f>COUNTIFS(Meciuri!$C$2:$C$181,$B3,Meciuri!$U$2:$U$181,"W")</f>
        <v>0</v>
      </c>
      <c r="M3" s="13">
        <f>COUNTIFS(Meciuri!$C$2:$C$181,$B3,Meciuri!$U$2:$U$181,"T")</f>
        <v>0</v>
      </c>
      <c r="N3" s="13">
        <f>COUNTIFS(Meciuri!$C$2:$C$181,$B3,Meciuri!$U$2:$U$181,"L")</f>
        <v>0</v>
      </c>
    </row>
    <row r="4" spans="1:14" x14ac:dyDescent="0.25">
      <c r="A4" s="2" t="s">
        <v>29</v>
      </c>
      <c r="B4" s="2" t="s">
        <v>32</v>
      </c>
      <c r="C4" s="18" t="s">
        <v>63</v>
      </c>
      <c r="D4" s="13">
        <f>COUNTIFS(Meciuri!$C$2:$C$181,$B4,Meciuri!$S$2:$S$181,"&gt;=0")</f>
        <v>0</v>
      </c>
      <c r="E4" s="13" t="str">
        <f>IF($D4=0,"",SUMIFS(Meciuri!$S$2:$S$181,Meciuri!$C$2:$C$181,$B4))</f>
        <v/>
      </c>
      <c r="F4" s="5" t="str">
        <f t="shared" si="0"/>
        <v/>
      </c>
      <c r="G4" s="5" t="str">
        <f>IF($D4=0,"",SUMIFS(Meciuri!$P$2:$P$181,Meciuri!$C$2:$C$181,$B4)/$D4)</f>
        <v/>
      </c>
      <c r="H4" s="5" t="str">
        <f>IF($D4=0,"",SUMIFS(Meciuri!$Q$2:$Q$181,Meciuri!$C$2:$C$181,$B4)/$D4)</f>
        <v/>
      </c>
      <c r="I4" s="5" t="str">
        <f>IF($D4=0,"",SUMIFS(Meciuri!$R$2:$R$181,Meciuri!$C$2:$C$181,$B4)/$D4)</f>
        <v/>
      </c>
      <c r="J4" s="5" t="str">
        <f>IF($D4=0,"",SUMIFS(Meciuri!$T$2:$T$181,Meciuri!$C$2:$C$181,$B4)/$D4)</f>
        <v/>
      </c>
      <c r="K4" s="13" t="str">
        <f>IF($D4=0,"",_xlfn.MAXIFS(Meciuri!$S$2:$S$181,Meciuri!$C$2:$C$181,$B4))</f>
        <v/>
      </c>
      <c r="L4" s="13">
        <f>COUNTIFS(Meciuri!$C$2:$C$181,$B4,Meciuri!$U$2:$U$181,"W")</f>
        <v>0</v>
      </c>
      <c r="M4" s="13">
        <f>COUNTIFS(Meciuri!$C$2:$C$181,$B4,Meciuri!$U$2:$U$181,"T")</f>
        <v>0</v>
      </c>
      <c r="N4" s="13">
        <f>COUNTIFS(Meciuri!$C$2:$C$181,$B4,Meciuri!$U$2:$U$181,"L")</f>
        <v>0</v>
      </c>
    </row>
    <row r="5" spans="1:14" x14ac:dyDescent="0.25">
      <c r="A5" s="2" t="s">
        <v>29</v>
      </c>
      <c r="B5" s="2" t="s">
        <v>33</v>
      </c>
      <c r="C5" s="18" t="s">
        <v>64</v>
      </c>
      <c r="D5" s="13">
        <f>COUNTIFS(Meciuri!$C$2:$C$181,$B5,Meciuri!$S$2:$S$181,"&gt;=0")</f>
        <v>0</v>
      </c>
      <c r="E5" s="13" t="str">
        <f>IF($D5=0,"",SUMIFS(Meciuri!$S$2:$S$181,Meciuri!$C$2:$C$181,$B5))</f>
        <v/>
      </c>
      <c r="F5" s="5" t="str">
        <f t="shared" si="0"/>
        <v/>
      </c>
      <c r="G5" s="5" t="str">
        <f>IF($D5=0,"",SUMIFS(Meciuri!$P$2:$P$181,Meciuri!$C$2:$C$181,$B5)/$D5)</f>
        <v/>
      </c>
      <c r="H5" s="5" t="str">
        <f>IF($D5=0,"",SUMIFS(Meciuri!$Q$2:$Q$181,Meciuri!$C$2:$C$181,$B5)/$D5)</f>
        <v/>
      </c>
      <c r="I5" s="5" t="str">
        <f>IF($D5=0,"",SUMIFS(Meciuri!$R$2:$R$181,Meciuri!$C$2:$C$181,$B5)/$D5)</f>
        <v/>
      </c>
      <c r="J5" s="5" t="str">
        <f>IF($D5=0,"",SUMIFS(Meciuri!$T$2:$T$181,Meciuri!$C$2:$C$181,$B5)/$D5)</f>
        <v/>
      </c>
      <c r="K5" s="13" t="str">
        <f>IF($D5=0,"",_xlfn.MAXIFS(Meciuri!$S$2:$S$181,Meciuri!$C$2:$C$181,$B5))</f>
        <v/>
      </c>
      <c r="L5" s="13">
        <f>COUNTIFS(Meciuri!$C$2:$C$181,$B5,Meciuri!$U$2:$U$181,"W")</f>
        <v>0</v>
      </c>
      <c r="M5" s="13">
        <f>COUNTIFS(Meciuri!$C$2:$C$181,$B5,Meciuri!$U$2:$U$181,"T")</f>
        <v>0</v>
      </c>
      <c r="N5" s="13">
        <f>COUNTIFS(Meciuri!$C$2:$C$181,$B5,Meciuri!$U$2:$U$181,"L")</f>
        <v>0</v>
      </c>
    </row>
    <row r="6" spans="1:14" x14ac:dyDescent="0.25">
      <c r="A6" s="2" t="s">
        <v>29</v>
      </c>
      <c r="B6" s="2" t="s">
        <v>34</v>
      </c>
      <c r="C6" s="18" t="s">
        <v>66</v>
      </c>
      <c r="D6" s="13">
        <f>COUNTIFS(Meciuri!$C$2:$C$181,$B6,Meciuri!$S$2:$S$181,"&gt;=0")</f>
        <v>0</v>
      </c>
      <c r="E6" s="13" t="str">
        <f>IF($D6=0,"",SUMIFS(Meciuri!$S$2:$S$181,Meciuri!$C$2:$C$181,$B6))</f>
        <v/>
      </c>
      <c r="F6" s="5" t="str">
        <f t="shared" si="0"/>
        <v/>
      </c>
      <c r="G6" s="5" t="str">
        <f>IF($D6=0,"",SUMIFS(Meciuri!$P$2:$P$181,Meciuri!$C$2:$C$181,$B6)/$D6)</f>
        <v/>
      </c>
      <c r="H6" s="5" t="str">
        <f>IF($D6=0,"",SUMIFS(Meciuri!$Q$2:$Q$181,Meciuri!$C$2:$C$181,$B6)/$D6)</f>
        <v/>
      </c>
      <c r="I6" s="5" t="str">
        <f>IF($D6=0,"",SUMIFS(Meciuri!$R$2:$R$181,Meciuri!$C$2:$C$181,$B6)/$D6)</f>
        <v/>
      </c>
      <c r="J6" s="5" t="str">
        <f>IF($D6=0,"",SUMIFS(Meciuri!$T$2:$T$181,Meciuri!$C$2:$C$181,$B6)/$D6)</f>
        <v/>
      </c>
      <c r="K6" s="13" t="str">
        <f>IF($D6=0,"",_xlfn.MAXIFS(Meciuri!$S$2:$S$181,Meciuri!$C$2:$C$181,$B6))</f>
        <v/>
      </c>
      <c r="L6" s="13">
        <f>COUNTIFS(Meciuri!$C$2:$C$181,$B6,Meciuri!$U$2:$U$181,"W")</f>
        <v>0</v>
      </c>
      <c r="M6" s="13">
        <f>COUNTIFS(Meciuri!$C$2:$C$181,$B6,Meciuri!$U$2:$U$181,"T")</f>
        <v>0</v>
      </c>
      <c r="N6" s="13">
        <f>COUNTIFS(Meciuri!$C$2:$C$181,$B6,Meciuri!$U$2:$U$181,"L")</f>
        <v>0</v>
      </c>
    </row>
    <row r="7" spans="1:14" x14ac:dyDescent="0.25">
      <c r="A7" s="2" t="s">
        <v>29</v>
      </c>
      <c r="B7" s="2" t="s">
        <v>35</v>
      </c>
      <c r="C7" s="18" t="s">
        <v>67</v>
      </c>
      <c r="D7" s="13">
        <f>COUNTIFS(Meciuri!$C$2:$C$181,$B7,Meciuri!$S$2:$S$181,"&gt;=0")</f>
        <v>0</v>
      </c>
      <c r="E7" s="13" t="str">
        <f>IF($D7=0,"",SUMIFS(Meciuri!$S$2:$S$181,Meciuri!$C$2:$C$181,$B7))</f>
        <v/>
      </c>
      <c r="F7" s="5" t="str">
        <f t="shared" si="0"/>
        <v/>
      </c>
      <c r="G7" s="5" t="str">
        <f>IF($D7=0,"",SUMIFS(Meciuri!$P$2:$P$181,Meciuri!$C$2:$C$181,$B7)/$D7)</f>
        <v/>
      </c>
      <c r="H7" s="5" t="str">
        <f>IF($D7=0,"",SUMIFS(Meciuri!$Q$2:$Q$181,Meciuri!$C$2:$C$181,$B7)/$D7)</f>
        <v/>
      </c>
      <c r="I7" s="5" t="str">
        <f>IF($D7=0,"",SUMIFS(Meciuri!$R$2:$R$181,Meciuri!$C$2:$C$181,$B7)/$D7)</f>
        <v/>
      </c>
      <c r="J7" s="5" t="str">
        <f>IF($D7=0,"",SUMIFS(Meciuri!$T$2:$T$181,Meciuri!$C$2:$C$181,$B7)/$D7)</f>
        <v/>
      </c>
      <c r="K7" s="13" t="str">
        <f>IF($D7=0,"",_xlfn.MAXIFS(Meciuri!$S$2:$S$181,Meciuri!$C$2:$C$181,$B7))</f>
        <v/>
      </c>
      <c r="L7" s="13">
        <f>COUNTIFS(Meciuri!$C$2:$C$181,$B7,Meciuri!$U$2:$U$181,"W")</f>
        <v>0</v>
      </c>
      <c r="M7" s="13">
        <f>COUNTIFS(Meciuri!$C$2:$C$181,$B7,Meciuri!$U$2:$U$181,"T")</f>
        <v>0</v>
      </c>
      <c r="N7" s="13">
        <f>COUNTIFS(Meciuri!$C$2:$C$181,$B7,Meciuri!$U$2:$U$181,"L")</f>
        <v>0</v>
      </c>
    </row>
    <row r="8" spans="1:14" x14ac:dyDescent="0.25">
      <c r="A8" s="2" t="s">
        <v>29</v>
      </c>
      <c r="B8" s="2" t="s">
        <v>36</v>
      </c>
      <c r="C8" s="18" t="s">
        <v>69</v>
      </c>
      <c r="D8" s="13">
        <f>COUNTIFS(Meciuri!$C$2:$C$181,$B8,Meciuri!$S$2:$S$181,"&gt;=0")</f>
        <v>0</v>
      </c>
      <c r="E8" s="13" t="str">
        <f>IF($D8=0,"",SUMIFS(Meciuri!$S$2:$S$181,Meciuri!$C$2:$C$181,$B8))</f>
        <v/>
      </c>
      <c r="F8" s="5" t="str">
        <f t="shared" si="0"/>
        <v/>
      </c>
      <c r="G8" s="5" t="str">
        <f>IF($D8=0,"",SUMIFS(Meciuri!$P$2:$P$181,Meciuri!$C$2:$C$181,$B8)/$D8)</f>
        <v/>
      </c>
      <c r="H8" s="5" t="str">
        <f>IF($D8=0,"",SUMIFS(Meciuri!$Q$2:$Q$181,Meciuri!$C$2:$C$181,$B8)/$D8)</f>
        <v/>
      </c>
      <c r="I8" s="5" t="str">
        <f>IF($D8=0,"",SUMIFS(Meciuri!$R$2:$R$181,Meciuri!$C$2:$C$181,$B8)/$D8)</f>
        <v/>
      </c>
      <c r="J8" s="5" t="str">
        <f>IF($D8=0,"",SUMIFS(Meciuri!$T$2:$T$181,Meciuri!$C$2:$C$181,$B8)/$D8)</f>
        <v/>
      </c>
      <c r="K8" s="13" t="str">
        <f>IF($D8=0,"",_xlfn.MAXIFS(Meciuri!$S$2:$S$181,Meciuri!$C$2:$C$181,$B8))</f>
        <v/>
      </c>
      <c r="L8" s="13">
        <f>COUNTIFS(Meciuri!$C$2:$C$181,$B8,Meciuri!$U$2:$U$181,"W")</f>
        <v>0</v>
      </c>
      <c r="M8" s="13">
        <f>COUNTIFS(Meciuri!$C$2:$C$181,$B8,Meciuri!$U$2:$U$181,"T")</f>
        <v>0</v>
      </c>
      <c r="N8" s="13">
        <f>COUNTIFS(Meciuri!$C$2:$C$181,$B8,Meciuri!$U$2:$U$181,"L")</f>
        <v>0</v>
      </c>
    </row>
    <row r="9" spans="1:14" x14ac:dyDescent="0.25">
      <c r="A9" s="2" t="s">
        <v>29</v>
      </c>
      <c r="B9" s="2" t="s">
        <v>37</v>
      </c>
      <c r="C9" s="18" t="s">
        <v>70</v>
      </c>
      <c r="D9" s="13">
        <f>COUNTIFS(Meciuri!$C$2:$C$181,$B9,Meciuri!$S$2:$S$181,"&gt;=0")</f>
        <v>0</v>
      </c>
      <c r="E9" s="13" t="str">
        <f>IF($D9=0,"",SUMIFS(Meciuri!$S$2:$S$181,Meciuri!$C$2:$C$181,$B9))</f>
        <v/>
      </c>
      <c r="F9" s="5" t="str">
        <f t="shared" si="0"/>
        <v/>
      </c>
      <c r="G9" s="5" t="str">
        <f>IF($D9=0,"",SUMIFS(Meciuri!$P$2:$P$181,Meciuri!$C$2:$C$181,$B9)/$D9)</f>
        <v/>
      </c>
      <c r="H9" s="5" t="str">
        <f>IF($D9=0,"",SUMIFS(Meciuri!$Q$2:$Q$181,Meciuri!$C$2:$C$181,$B9)/$D9)</f>
        <v/>
      </c>
      <c r="I9" s="5" t="str">
        <f>IF($D9=0,"",SUMIFS(Meciuri!$R$2:$R$181,Meciuri!$C$2:$C$181,$B9)/$D9)</f>
        <v/>
      </c>
      <c r="J9" s="5" t="str">
        <f>IF($D9=0,"",SUMIFS(Meciuri!$T$2:$T$181,Meciuri!$C$2:$C$181,$B9)/$D9)</f>
        <v/>
      </c>
      <c r="K9" s="13" t="str">
        <f>IF($D9=0,"",_xlfn.MAXIFS(Meciuri!$S$2:$S$181,Meciuri!$C$2:$C$181,$B9))</f>
        <v/>
      </c>
      <c r="L9" s="13">
        <f>COUNTIFS(Meciuri!$C$2:$C$181,$B9,Meciuri!$U$2:$U$181,"W")</f>
        <v>0</v>
      </c>
      <c r="M9" s="13">
        <f>COUNTIFS(Meciuri!$C$2:$C$181,$B9,Meciuri!$U$2:$U$181,"T")</f>
        <v>0</v>
      </c>
      <c r="N9" s="13">
        <f>COUNTIFS(Meciuri!$C$2:$C$181,$B9,Meciuri!$U$2:$U$181,"L")</f>
        <v>0</v>
      </c>
    </row>
    <row r="10" spans="1:14" x14ac:dyDescent="0.25">
      <c r="A10" s="2" t="s">
        <v>29</v>
      </c>
      <c r="B10" s="2" t="s">
        <v>38</v>
      </c>
      <c r="C10" s="18" t="s">
        <v>72</v>
      </c>
      <c r="D10" s="13">
        <f>COUNTIFS(Meciuri!$C$2:$C$181,$B10,Meciuri!$S$2:$S$181,"&gt;=0")</f>
        <v>0</v>
      </c>
      <c r="E10" s="13" t="str">
        <f>IF($D10=0,"",SUMIFS(Meciuri!$S$2:$S$181,Meciuri!$C$2:$C$181,$B10))</f>
        <v/>
      </c>
      <c r="F10" s="5" t="str">
        <f t="shared" si="0"/>
        <v/>
      </c>
      <c r="G10" s="5" t="str">
        <f>IF($D10=0,"",SUMIFS(Meciuri!$P$2:$P$181,Meciuri!$C$2:$C$181,$B10)/$D10)</f>
        <v/>
      </c>
      <c r="H10" s="5" t="str">
        <f>IF($D10=0,"",SUMIFS(Meciuri!$Q$2:$Q$181,Meciuri!$C$2:$C$181,$B10)/$D10)</f>
        <v/>
      </c>
      <c r="I10" s="5" t="str">
        <f>IF($D10=0,"",SUMIFS(Meciuri!$R$2:$R$181,Meciuri!$C$2:$C$181,$B10)/$D10)</f>
        <v/>
      </c>
      <c r="J10" s="5" t="str">
        <f>IF($D10=0,"",SUMIFS(Meciuri!$T$2:$T$181,Meciuri!$C$2:$C$181,$B10)/$D10)</f>
        <v/>
      </c>
      <c r="K10" s="13" t="str">
        <f>IF($D10=0,"",_xlfn.MAXIFS(Meciuri!$S$2:$S$181,Meciuri!$C$2:$C$181,$B10))</f>
        <v/>
      </c>
      <c r="L10" s="13">
        <f>COUNTIFS(Meciuri!$C$2:$C$181,$B10,Meciuri!$U$2:$U$181,"W")</f>
        <v>0</v>
      </c>
      <c r="M10" s="13">
        <f>COUNTIFS(Meciuri!$C$2:$C$181,$B10,Meciuri!$U$2:$U$181,"T")</f>
        <v>0</v>
      </c>
      <c r="N10" s="13">
        <f>COUNTIFS(Meciuri!$C$2:$C$181,$B10,Meciuri!$U$2:$U$181,"L")</f>
        <v>0</v>
      </c>
    </row>
    <row r="11" spans="1:14" x14ac:dyDescent="0.25">
      <c r="A11" s="2" t="s">
        <v>29</v>
      </c>
      <c r="B11" s="2" t="s">
        <v>39</v>
      </c>
      <c r="C11" s="18" t="s">
        <v>73</v>
      </c>
      <c r="D11" s="13">
        <f>COUNTIFS(Meciuri!$C$2:$C$181,$B11,Meciuri!$S$2:$S$181,"&gt;=0")</f>
        <v>0</v>
      </c>
      <c r="E11" s="13" t="str">
        <f>IF($D11=0,"",SUMIFS(Meciuri!$S$2:$S$181,Meciuri!$C$2:$C$181,$B11))</f>
        <v/>
      </c>
      <c r="F11" s="5" t="str">
        <f t="shared" si="0"/>
        <v/>
      </c>
      <c r="G11" s="5" t="str">
        <f>IF($D11=0,"",SUMIFS(Meciuri!$P$2:$P$181,Meciuri!$C$2:$C$181,$B11)/$D11)</f>
        <v/>
      </c>
      <c r="H11" s="5" t="str">
        <f>IF($D11=0,"",SUMIFS(Meciuri!$Q$2:$Q$181,Meciuri!$C$2:$C$181,$B11)/$D11)</f>
        <v/>
      </c>
      <c r="I11" s="5" t="str">
        <f>IF($D11=0,"",SUMIFS(Meciuri!$R$2:$R$181,Meciuri!$C$2:$C$181,$B11)/$D11)</f>
        <v/>
      </c>
      <c r="J11" s="5" t="str">
        <f>IF($D11=0,"",SUMIFS(Meciuri!$T$2:$T$181,Meciuri!$C$2:$C$181,$B11)/$D11)</f>
        <v/>
      </c>
      <c r="K11" s="13" t="str">
        <f>IF($D11=0,"",_xlfn.MAXIFS(Meciuri!$S$2:$S$181,Meciuri!$C$2:$C$181,$B11))</f>
        <v/>
      </c>
      <c r="L11" s="13">
        <f>COUNTIFS(Meciuri!$C$2:$C$181,$B11,Meciuri!$U$2:$U$181,"W")</f>
        <v>0</v>
      </c>
      <c r="M11" s="13">
        <f>COUNTIFS(Meciuri!$C$2:$C$181,$B11,Meciuri!$U$2:$U$181,"T")</f>
        <v>0</v>
      </c>
      <c r="N11" s="13">
        <f>COUNTIFS(Meciuri!$C$2:$C$181,$B11,Meciuri!$U$2:$U$181,"L")</f>
        <v>0</v>
      </c>
    </row>
    <row r="12" spans="1:14" x14ac:dyDescent="0.25">
      <c r="A12" s="6" t="s">
        <v>40</v>
      </c>
      <c r="B12" s="6" t="s">
        <v>41</v>
      </c>
      <c r="C12" s="18" t="s">
        <v>115</v>
      </c>
      <c r="D12" s="13">
        <f>COUNTIFS(Meciuri!$C$2:$C$181,$B12,Meciuri!$S$2:$S$181,"&gt;=0")</f>
        <v>0</v>
      </c>
      <c r="E12" s="13" t="str">
        <f>IF($D12=0,"",SUMIFS(Meciuri!$S$2:$S$181,Meciuri!$C$2:$C$181,$B12))</f>
        <v/>
      </c>
      <c r="F12" s="5" t="str">
        <f t="shared" si="0"/>
        <v/>
      </c>
      <c r="G12" s="5" t="str">
        <f>IF($D12=0,"",SUMIFS(Meciuri!$P$2:$P$181,Meciuri!$C$2:$C$181,$B12)/$D12)</f>
        <v/>
      </c>
      <c r="H12" s="5" t="str">
        <f>IF($D12=0,"",SUMIFS(Meciuri!$Q$2:$Q$181,Meciuri!$C$2:$C$181,$B12)/$D12)</f>
        <v/>
      </c>
      <c r="I12" s="5" t="str">
        <f>IF($D12=0,"",SUMIFS(Meciuri!$R$2:$R$181,Meciuri!$C$2:$C$181,$B12)/$D12)</f>
        <v/>
      </c>
      <c r="J12" s="5" t="str">
        <f>IF($D12=0,"",SUMIFS(Meciuri!$T$2:$T$181,Meciuri!$C$2:$C$181,$B12)/$D12)</f>
        <v/>
      </c>
      <c r="K12" s="13" t="str">
        <f>IF($D12=0,"",_xlfn.MAXIFS(Meciuri!$S$2:$S$181,Meciuri!$C$2:$C$181,$B12))</f>
        <v/>
      </c>
      <c r="L12" s="13">
        <f>COUNTIFS(Meciuri!$C$2:$C$181,$B12,Meciuri!$U$2:$U$181,"W")</f>
        <v>0</v>
      </c>
      <c r="M12" s="13">
        <f>COUNTIFS(Meciuri!$C$2:$C$181,$B12,Meciuri!$U$2:$U$181,"T")</f>
        <v>0</v>
      </c>
      <c r="N12" s="13">
        <f>COUNTIFS(Meciuri!$C$2:$C$181,$B12,Meciuri!$U$2:$U$181,"L")</f>
        <v>0</v>
      </c>
    </row>
    <row r="13" spans="1:14" x14ac:dyDescent="0.25">
      <c r="A13" s="6" t="s">
        <v>40</v>
      </c>
      <c r="B13" s="6" t="s">
        <v>42</v>
      </c>
      <c r="C13" s="18" t="s">
        <v>116</v>
      </c>
      <c r="D13" s="13">
        <f>COUNTIFS(Meciuri!$C$2:$C$181,$B13,Meciuri!$S$2:$S$181,"&gt;=0")</f>
        <v>0</v>
      </c>
      <c r="E13" s="13" t="str">
        <f>IF($D13=0,"",SUMIFS(Meciuri!$S$2:$S$181,Meciuri!$C$2:$C$181,$B13))</f>
        <v/>
      </c>
      <c r="F13" s="5" t="str">
        <f t="shared" si="0"/>
        <v/>
      </c>
      <c r="G13" s="5" t="str">
        <f>IF($D13=0,"",SUMIFS(Meciuri!$P$2:$P$181,Meciuri!$C$2:$C$181,$B13)/$D13)</f>
        <v/>
      </c>
      <c r="H13" s="5" t="str">
        <f>IF($D13=0,"",SUMIFS(Meciuri!$Q$2:$Q$181,Meciuri!$C$2:$C$181,$B13)/$D13)</f>
        <v/>
      </c>
      <c r="I13" s="5" t="str">
        <f>IF($D13=0,"",SUMIFS(Meciuri!$R$2:$R$181,Meciuri!$C$2:$C$181,$B13)/$D13)</f>
        <v/>
      </c>
      <c r="J13" s="5" t="str">
        <f>IF($D13=0,"",SUMIFS(Meciuri!$T$2:$T$181,Meciuri!$C$2:$C$181,$B13)/$D13)</f>
        <v/>
      </c>
      <c r="K13" s="13" t="str">
        <f>IF($D13=0,"",_xlfn.MAXIFS(Meciuri!$S$2:$S$181,Meciuri!$C$2:$C$181,$B13))</f>
        <v/>
      </c>
      <c r="L13" s="13">
        <f>COUNTIFS(Meciuri!$C$2:$C$181,$B13,Meciuri!$U$2:$U$181,"W")</f>
        <v>0</v>
      </c>
      <c r="M13" s="13">
        <f>COUNTIFS(Meciuri!$C$2:$C$181,$B13,Meciuri!$U$2:$U$181,"T")</f>
        <v>0</v>
      </c>
      <c r="N13" s="13">
        <f>COUNTIFS(Meciuri!$C$2:$C$181,$B13,Meciuri!$U$2:$U$181,"L")</f>
        <v>0</v>
      </c>
    </row>
    <row r="14" spans="1:14" x14ac:dyDescent="0.25">
      <c r="A14" s="6" t="s">
        <v>40</v>
      </c>
      <c r="B14" s="6" t="s">
        <v>43</v>
      </c>
      <c r="C14" s="18" t="s">
        <v>118</v>
      </c>
      <c r="D14" s="13">
        <f>COUNTIFS(Meciuri!$C$2:$C$181,$B14,Meciuri!$S$2:$S$181,"&gt;=0")</f>
        <v>0</v>
      </c>
      <c r="E14" s="13" t="str">
        <f>IF($D14=0,"",SUMIFS(Meciuri!$S$2:$S$181,Meciuri!$C$2:$C$181,$B14))</f>
        <v/>
      </c>
      <c r="F14" s="5" t="str">
        <f t="shared" si="0"/>
        <v/>
      </c>
      <c r="G14" s="5" t="str">
        <f>IF($D14=0,"",SUMIFS(Meciuri!$P$2:$P$181,Meciuri!$C$2:$C$181,$B14)/$D14)</f>
        <v/>
      </c>
      <c r="H14" s="5" t="str">
        <f>IF($D14=0,"",SUMIFS(Meciuri!$Q$2:$Q$181,Meciuri!$C$2:$C$181,$B14)/$D14)</f>
        <v/>
      </c>
      <c r="I14" s="5" t="str">
        <f>IF($D14=0,"",SUMIFS(Meciuri!$R$2:$R$181,Meciuri!$C$2:$C$181,$B14)/$D14)</f>
        <v/>
      </c>
      <c r="J14" s="5" t="str">
        <f>IF($D14=0,"",SUMIFS(Meciuri!$T$2:$T$181,Meciuri!$C$2:$C$181,$B14)/$D14)</f>
        <v/>
      </c>
      <c r="K14" s="13" t="str">
        <f>IF($D14=0,"",_xlfn.MAXIFS(Meciuri!$S$2:$S$181,Meciuri!$C$2:$C$181,$B14))</f>
        <v/>
      </c>
      <c r="L14" s="13">
        <f>COUNTIFS(Meciuri!$C$2:$C$181,$B14,Meciuri!$U$2:$U$181,"W")</f>
        <v>0</v>
      </c>
      <c r="M14" s="13">
        <f>COUNTIFS(Meciuri!$C$2:$C$181,$B14,Meciuri!$U$2:$U$181,"T")</f>
        <v>0</v>
      </c>
      <c r="N14" s="13">
        <f>COUNTIFS(Meciuri!$C$2:$C$181,$B14,Meciuri!$U$2:$U$181,"L")</f>
        <v>0</v>
      </c>
    </row>
    <row r="15" spans="1:14" x14ac:dyDescent="0.25">
      <c r="A15" s="6" t="s">
        <v>40</v>
      </c>
      <c r="B15" s="6" t="s">
        <v>44</v>
      </c>
      <c r="C15" s="18" t="s">
        <v>119</v>
      </c>
      <c r="D15" s="13">
        <f>COUNTIFS(Meciuri!$C$2:$C$181,$B15,Meciuri!$S$2:$S$181,"&gt;=0")</f>
        <v>0</v>
      </c>
      <c r="E15" s="13" t="str">
        <f>IF($D15=0,"",SUMIFS(Meciuri!$S$2:$S$181,Meciuri!$C$2:$C$181,$B15))</f>
        <v/>
      </c>
      <c r="F15" s="5" t="str">
        <f t="shared" si="0"/>
        <v/>
      </c>
      <c r="G15" s="5" t="str">
        <f>IF($D15=0,"",SUMIFS(Meciuri!$P$2:$P$181,Meciuri!$C$2:$C$181,$B15)/$D15)</f>
        <v/>
      </c>
      <c r="H15" s="5" t="str">
        <f>IF($D15=0,"",SUMIFS(Meciuri!$Q$2:$Q$181,Meciuri!$C$2:$C$181,$B15)/$D15)</f>
        <v/>
      </c>
      <c r="I15" s="5" t="str">
        <f>IF($D15=0,"",SUMIFS(Meciuri!$R$2:$R$181,Meciuri!$C$2:$C$181,$B15)/$D15)</f>
        <v/>
      </c>
      <c r="J15" s="5" t="str">
        <f>IF($D15=0,"",SUMIFS(Meciuri!$T$2:$T$181,Meciuri!$C$2:$C$181,$B15)/$D15)</f>
        <v/>
      </c>
      <c r="K15" s="13" t="str">
        <f>IF($D15=0,"",_xlfn.MAXIFS(Meciuri!$S$2:$S$181,Meciuri!$C$2:$C$181,$B15))</f>
        <v/>
      </c>
      <c r="L15" s="13">
        <f>COUNTIFS(Meciuri!$C$2:$C$181,$B15,Meciuri!$U$2:$U$181,"W")</f>
        <v>0</v>
      </c>
      <c r="M15" s="13">
        <f>COUNTIFS(Meciuri!$C$2:$C$181,$B15,Meciuri!$U$2:$U$181,"T")</f>
        <v>0</v>
      </c>
      <c r="N15" s="13">
        <f>COUNTIFS(Meciuri!$C$2:$C$181,$B15,Meciuri!$U$2:$U$181,"L")</f>
        <v>0</v>
      </c>
    </row>
    <row r="16" spans="1:14" x14ac:dyDescent="0.25">
      <c r="A16" s="6" t="s">
        <v>40</v>
      </c>
      <c r="B16" s="6" t="s">
        <v>45</v>
      </c>
      <c r="C16" s="18" t="s">
        <v>121</v>
      </c>
      <c r="D16" s="13">
        <f>COUNTIFS(Meciuri!$C$2:$C$181,$B16,Meciuri!$S$2:$S$181,"&gt;=0")</f>
        <v>0</v>
      </c>
      <c r="E16" s="13" t="str">
        <f>IF($D16=0,"",SUMIFS(Meciuri!$S$2:$S$181,Meciuri!$C$2:$C$181,$B16))</f>
        <v/>
      </c>
      <c r="F16" s="5" t="str">
        <f t="shared" si="0"/>
        <v/>
      </c>
      <c r="G16" s="5" t="str">
        <f>IF($D16=0,"",SUMIFS(Meciuri!$P$2:$P$181,Meciuri!$C$2:$C$181,$B16)/$D16)</f>
        <v/>
      </c>
      <c r="H16" s="5" t="str">
        <f>IF($D16=0,"",SUMIFS(Meciuri!$Q$2:$Q$181,Meciuri!$C$2:$C$181,$B16)/$D16)</f>
        <v/>
      </c>
      <c r="I16" s="5" t="str">
        <f>IF($D16=0,"",SUMIFS(Meciuri!$R$2:$R$181,Meciuri!$C$2:$C$181,$B16)/$D16)</f>
        <v/>
      </c>
      <c r="J16" s="5" t="str">
        <f>IF($D16=0,"",SUMIFS(Meciuri!$T$2:$T$181,Meciuri!$C$2:$C$181,$B16)/$D16)</f>
        <v/>
      </c>
      <c r="K16" s="13" t="str">
        <f>IF($D16=0,"",_xlfn.MAXIFS(Meciuri!$S$2:$S$181,Meciuri!$C$2:$C$181,$B16))</f>
        <v/>
      </c>
      <c r="L16" s="13">
        <f>COUNTIFS(Meciuri!$C$2:$C$181,$B16,Meciuri!$U$2:$U$181,"W")</f>
        <v>0</v>
      </c>
      <c r="M16" s="13">
        <f>COUNTIFS(Meciuri!$C$2:$C$181,$B16,Meciuri!$U$2:$U$181,"T")</f>
        <v>0</v>
      </c>
      <c r="N16" s="13">
        <f>COUNTIFS(Meciuri!$C$2:$C$181,$B16,Meciuri!$U$2:$U$181,"L")</f>
        <v>0</v>
      </c>
    </row>
    <row r="17" spans="1:14" x14ac:dyDescent="0.25">
      <c r="A17" s="6" t="s">
        <v>40</v>
      </c>
      <c r="B17" s="6" t="s">
        <v>46</v>
      </c>
      <c r="C17" s="18" t="s">
        <v>122</v>
      </c>
      <c r="D17" s="13">
        <f>COUNTIFS(Meciuri!$C$2:$C$181,$B17,Meciuri!$S$2:$S$181,"&gt;=0")</f>
        <v>0</v>
      </c>
      <c r="E17" s="13" t="str">
        <f>IF($D17=0,"",SUMIFS(Meciuri!$S$2:$S$181,Meciuri!$C$2:$C$181,$B17))</f>
        <v/>
      </c>
      <c r="F17" s="5" t="str">
        <f t="shared" si="0"/>
        <v/>
      </c>
      <c r="G17" s="5" t="str">
        <f>IF($D17=0,"",SUMIFS(Meciuri!$P$2:$P$181,Meciuri!$C$2:$C$181,$B17)/$D17)</f>
        <v/>
      </c>
      <c r="H17" s="5" t="str">
        <f>IF($D17=0,"",SUMIFS(Meciuri!$Q$2:$Q$181,Meciuri!$C$2:$C$181,$B17)/$D17)</f>
        <v/>
      </c>
      <c r="I17" s="5" t="str">
        <f>IF($D17=0,"",SUMIFS(Meciuri!$R$2:$R$181,Meciuri!$C$2:$C$181,$B17)/$D17)</f>
        <v/>
      </c>
      <c r="J17" s="5" t="str">
        <f>IF($D17=0,"",SUMIFS(Meciuri!$T$2:$T$181,Meciuri!$C$2:$C$181,$B17)/$D17)</f>
        <v/>
      </c>
      <c r="K17" s="13" t="str">
        <f>IF($D17=0,"",_xlfn.MAXIFS(Meciuri!$S$2:$S$181,Meciuri!$C$2:$C$181,$B17))</f>
        <v/>
      </c>
      <c r="L17" s="13">
        <f>COUNTIFS(Meciuri!$C$2:$C$181,$B17,Meciuri!$U$2:$U$181,"W")</f>
        <v>0</v>
      </c>
      <c r="M17" s="13">
        <f>COUNTIFS(Meciuri!$C$2:$C$181,$B17,Meciuri!$U$2:$U$181,"T")</f>
        <v>0</v>
      </c>
      <c r="N17" s="13">
        <f>COUNTIFS(Meciuri!$C$2:$C$181,$B17,Meciuri!$U$2:$U$181,"L")</f>
        <v>0</v>
      </c>
    </row>
    <row r="18" spans="1:14" x14ac:dyDescent="0.25">
      <c r="A18" s="6" t="s">
        <v>40</v>
      </c>
      <c r="B18" s="6" t="s">
        <v>47</v>
      </c>
      <c r="C18" s="18" t="s">
        <v>124</v>
      </c>
      <c r="D18" s="13">
        <f>COUNTIFS(Meciuri!$C$2:$C$181,$B18,Meciuri!$S$2:$S$181,"&gt;=0")</f>
        <v>0</v>
      </c>
      <c r="E18" s="13" t="str">
        <f>IF($D18=0,"",SUMIFS(Meciuri!$S$2:$S$181,Meciuri!$C$2:$C$181,$B18))</f>
        <v/>
      </c>
      <c r="F18" s="5" t="str">
        <f t="shared" si="0"/>
        <v/>
      </c>
      <c r="G18" s="5" t="str">
        <f>IF($D18=0,"",SUMIFS(Meciuri!$P$2:$P$181,Meciuri!$C$2:$C$181,$B18)/$D18)</f>
        <v/>
      </c>
      <c r="H18" s="5" t="str">
        <f>IF($D18=0,"",SUMIFS(Meciuri!$Q$2:$Q$181,Meciuri!$C$2:$C$181,$B18)/$D18)</f>
        <v/>
      </c>
      <c r="I18" s="5" t="str">
        <f>IF($D18=0,"",SUMIFS(Meciuri!$R$2:$R$181,Meciuri!$C$2:$C$181,$B18)/$D18)</f>
        <v/>
      </c>
      <c r="J18" s="5" t="str">
        <f>IF($D18=0,"",SUMIFS(Meciuri!$T$2:$T$181,Meciuri!$C$2:$C$181,$B18)/$D18)</f>
        <v/>
      </c>
      <c r="K18" s="13" t="str">
        <f>IF($D18=0,"",_xlfn.MAXIFS(Meciuri!$S$2:$S$181,Meciuri!$C$2:$C$181,$B18))</f>
        <v/>
      </c>
      <c r="L18" s="13">
        <f>COUNTIFS(Meciuri!$C$2:$C$181,$B18,Meciuri!$U$2:$U$181,"W")</f>
        <v>0</v>
      </c>
      <c r="M18" s="13">
        <f>COUNTIFS(Meciuri!$C$2:$C$181,$B18,Meciuri!$U$2:$U$181,"T")</f>
        <v>0</v>
      </c>
      <c r="N18" s="13">
        <f>COUNTIFS(Meciuri!$C$2:$C$181,$B18,Meciuri!$U$2:$U$181,"L")</f>
        <v>0</v>
      </c>
    </row>
    <row r="19" spans="1:14" x14ac:dyDescent="0.25">
      <c r="A19" s="6" t="s">
        <v>40</v>
      </c>
      <c r="B19" s="6" t="s">
        <v>48</v>
      </c>
      <c r="C19" s="18" t="s">
        <v>125</v>
      </c>
      <c r="D19" s="13">
        <f>COUNTIFS(Meciuri!$C$2:$C$181,$B19,Meciuri!$S$2:$S$181,"&gt;=0")</f>
        <v>0</v>
      </c>
      <c r="E19" s="13" t="str">
        <f>IF($D19=0,"",SUMIFS(Meciuri!$S$2:$S$181,Meciuri!$C$2:$C$181,$B19))</f>
        <v/>
      </c>
      <c r="F19" s="5" t="str">
        <f t="shared" si="0"/>
        <v/>
      </c>
      <c r="G19" s="5" t="str">
        <f>IF($D19=0,"",SUMIFS(Meciuri!$P$2:$P$181,Meciuri!$C$2:$C$181,$B19)/$D19)</f>
        <v/>
      </c>
      <c r="H19" s="5" t="str">
        <f>IF($D19=0,"",SUMIFS(Meciuri!$Q$2:$Q$181,Meciuri!$C$2:$C$181,$B19)/$D19)</f>
        <v/>
      </c>
      <c r="I19" s="5" t="str">
        <f>IF($D19=0,"",SUMIFS(Meciuri!$R$2:$R$181,Meciuri!$C$2:$C$181,$B19)/$D19)</f>
        <v/>
      </c>
      <c r="J19" s="5" t="str">
        <f>IF($D19=0,"",SUMIFS(Meciuri!$T$2:$T$181,Meciuri!$C$2:$C$181,$B19)/$D19)</f>
        <v/>
      </c>
      <c r="K19" s="13" t="str">
        <f>IF($D19=0,"",_xlfn.MAXIFS(Meciuri!$S$2:$S$181,Meciuri!$C$2:$C$181,$B19))</f>
        <v/>
      </c>
      <c r="L19" s="13">
        <f>COUNTIFS(Meciuri!$C$2:$C$181,$B19,Meciuri!$U$2:$U$181,"W")</f>
        <v>0</v>
      </c>
      <c r="M19" s="13">
        <f>COUNTIFS(Meciuri!$C$2:$C$181,$B19,Meciuri!$U$2:$U$181,"T")</f>
        <v>0</v>
      </c>
      <c r="N19" s="13">
        <f>COUNTIFS(Meciuri!$C$2:$C$181,$B19,Meciuri!$U$2:$U$181,"L")</f>
        <v>0</v>
      </c>
    </row>
    <row r="20" spans="1:14" x14ac:dyDescent="0.25">
      <c r="A20" s="6" t="s">
        <v>40</v>
      </c>
      <c r="B20" s="6" t="s">
        <v>49</v>
      </c>
      <c r="C20" s="18" t="s">
        <v>127</v>
      </c>
      <c r="D20" s="13">
        <f>COUNTIFS(Meciuri!$C$2:$C$181,$B20,Meciuri!$S$2:$S$181,"&gt;=0")</f>
        <v>0</v>
      </c>
      <c r="E20" s="13" t="str">
        <f>IF($D20=0,"",SUMIFS(Meciuri!$S$2:$S$181,Meciuri!$C$2:$C$181,$B20))</f>
        <v/>
      </c>
      <c r="F20" s="5" t="str">
        <f t="shared" si="0"/>
        <v/>
      </c>
      <c r="G20" s="5" t="str">
        <f>IF($D20=0,"",SUMIFS(Meciuri!$P$2:$P$181,Meciuri!$C$2:$C$181,$B20)/$D20)</f>
        <v/>
      </c>
      <c r="H20" s="5" t="str">
        <f>IF($D20=0,"",SUMIFS(Meciuri!$Q$2:$Q$181,Meciuri!$C$2:$C$181,$B20)/$D20)</f>
        <v/>
      </c>
      <c r="I20" s="5" t="str">
        <f>IF($D20=0,"",SUMIFS(Meciuri!$R$2:$R$181,Meciuri!$C$2:$C$181,$B20)/$D20)</f>
        <v/>
      </c>
      <c r="J20" s="5" t="str">
        <f>IF($D20=0,"",SUMIFS(Meciuri!$T$2:$T$181,Meciuri!$C$2:$C$181,$B20)/$D20)</f>
        <v/>
      </c>
      <c r="K20" s="13" t="str">
        <f>IF($D20=0,"",_xlfn.MAXIFS(Meciuri!$S$2:$S$181,Meciuri!$C$2:$C$181,$B20))</f>
        <v/>
      </c>
      <c r="L20" s="13">
        <f>COUNTIFS(Meciuri!$C$2:$C$181,$B20,Meciuri!$U$2:$U$181,"W")</f>
        <v>0</v>
      </c>
      <c r="M20" s="13">
        <f>COUNTIFS(Meciuri!$C$2:$C$181,$B20,Meciuri!$U$2:$U$181,"T")</f>
        <v>0</v>
      </c>
      <c r="N20" s="13">
        <f>COUNTIFS(Meciuri!$C$2:$C$181,$B20,Meciuri!$U$2:$U$181,"L")</f>
        <v>0</v>
      </c>
    </row>
    <row r="21" spans="1:14" x14ac:dyDescent="0.25">
      <c r="A21" s="6" t="s">
        <v>40</v>
      </c>
      <c r="B21" s="6" t="s">
        <v>50</v>
      </c>
      <c r="C21" s="18" t="s">
        <v>128</v>
      </c>
      <c r="D21" s="13">
        <f>COUNTIFS(Meciuri!$C$2:$C$181,$B21,Meciuri!$S$2:$S$181,"&gt;=0")</f>
        <v>0</v>
      </c>
      <c r="E21" s="13" t="str">
        <f>IF($D21=0,"",SUMIFS(Meciuri!$S$2:$S$181,Meciuri!$C$2:$C$181,$B21))</f>
        <v/>
      </c>
      <c r="F21" s="5" t="str">
        <f t="shared" si="0"/>
        <v/>
      </c>
      <c r="G21" s="5" t="str">
        <f>IF($D21=0,"",SUMIFS(Meciuri!$P$2:$P$181,Meciuri!$C$2:$C$181,$B21)/$D21)</f>
        <v/>
      </c>
      <c r="H21" s="5" t="str">
        <f>IF($D21=0,"",SUMIFS(Meciuri!$Q$2:$Q$181,Meciuri!$C$2:$C$181,$B21)/$D21)</f>
        <v/>
      </c>
      <c r="I21" s="5" t="str">
        <f>IF($D21=0,"",SUMIFS(Meciuri!$R$2:$R$181,Meciuri!$C$2:$C$181,$B21)/$D21)</f>
        <v/>
      </c>
      <c r="J21" s="5" t="str">
        <f>IF($D21=0,"",SUMIFS(Meciuri!$T$2:$T$181,Meciuri!$C$2:$C$181,$B21)/$D21)</f>
        <v/>
      </c>
      <c r="K21" s="13" t="str">
        <f>IF($D21=0,"",_xlfn.MAXIFS(Meciuri!$S$2:$S$181,Meciuri!$C$2:$C$181,$B21))</f>
        <v/>
      </c>
      <c r="L21" s="13">
        <f>COUNTIFS(Meciuri!$C$2:$C$181,$B21,Meciuri!$U$2:$U$181,"W")</f>
        <v>0</v>
      </c>
      <c r="M21" s="13">
        <f>COUNTIFS(Meciuri!$C$2:$C$181,$B21,Meciuri!$U$2:$U$181,"T")</f>
        <v>0</v>
      </c>
      <c r="N21" s="13">
        <f>COUNTIFS(Meciuri!$C$2:$C$181,$B21,Meciuri!$U$2:$U$181,"L")</f>
        <v>0</v>
      </c>
    </row>
    <row r="23" spans="1:14" x14ac:dyDescent="0.25">
      <c r="A23" s="7"/>
    </row>
  </sheetData>
  <autoFilter ref="A1:N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Instructiuni</vt:lpstr>
      <vt:lpstr>Program SERENITY</vt:lpstr>
      <vt:lpstr>Program VELOCITY</vt:lpstr>
      <vt:lpstr>Meciuri</vt:lpstr>
      <vt:lpstr>Sumar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Andreea</cp:lastModifiedBy>
  <cp:revision>0</cp:revision>
  <dcterms:created xsi:type="dcterms:W3CDTF">2026-07-31T09:37:34Z</dcterms:created>
  <dcterms:modified xsi:type="dcterms:W3CDTF">2026-07-31T09:48:54Z</dcterms:modified>
  <dc:language>en-US</dc:language>
</cp:coreProperties>
</file>